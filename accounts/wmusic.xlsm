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120" windowWidth="11715" windowHeight="7965"/>
  </bookViews>
  <sheets>
    <sheet name="Lancement" sheetId="6" r:id="rId1"/>
    <sheet name="Dépense" sheetId="2" r:id="rId2"/>
    <sheet name="Recette" sheetId="3" r:id="rId3"/>
    <sheet name="Prévision de vente" sheetId="5" r:id="rId4"/>
    <sheet name="Profit &amp; Loss" sheetId="4" r:id="rId5"/>
  </sheets>
  <calcPr calcId="125725"/>
</workbook>
</file>

<file path=xl/calcChain.xml><?xml version="1.0" encoding="utf-8"?>
<calcChain xmlns="http://schemas.openxmlformats.org/spreadsheetml/2006/main">
  <c r="C11" i="2"/>
  <c r="F12"/>
  <c r="AL6" i="5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C4"/>
  <c r="E22"/>
  <c r="D22"/>
  <c r="C22"/>
  <c r="AL23"/>
  <c r="AL24" s="1"/>
  <c r="AK23"/>
  <c r="AK24" s="1"/>
  <c r="AJ23"/>
  <c r="AJ24" s="1"/>
  <c r="AI23"/>
  <c r="AI24" s="1"/>
  <c r="AH23"/>
  <c r="AH24" s="1"/>
  <c r="AG23"/>
  <c r="AG24" s="1"/>
  <c r="AF23"/>
  <c r="AF24" s="1"/>
  <c r="AE23"/>
  <c r="AE24" s="1"/>
  <c r="AD23"/>
  <c r="AD24" s="1"/>
  <c r="AC23"/>
  <c r="AC24" s="1"/>
  <c r="AB23"/>
  <c r="AB24" s="1"/>
  <c r="AA23"/>
  <c r="AA24" s="1"/>
  <c r="Z23"/>
  <c r="Z24" s="1"/>
  <c r="Y23"/>
  <c r="Y24" s="1"/>
  <c r="X23"/>
  <c r="X24" s="1"/>
  <c r="W23"/>
  <c r="W24" s="1"/>
  <c r="V23"/>
  <c r="V24" s="1"/>
  <c r="U23"/>
  <c r="U24" s="1"/>
  <c r="T23"/>
  <c r="T24" s="1"/>
  <c r="S23"/>
  <c r="S24" s="1"/>
  <c r="R23"/>
  <c r="R24" s="1"/>
  <c r="Q23"/>
  <c r="Q24" s="1"/>
  <c r="P23"/>
  <c r="P24" s="1"/>
  <c r="O23"/>
  <c r="O24" s="1"/>
  <c r="N23"/>
  <c r="N24" s="1"/>
  <c r="M23"/>
  <c r="M24" s="1"/>
  <c r="L23"/>
  <c r="L24" s="1"/>
  <c r="K23"/>
  <c r="K24" s="1"/>
  <c r="J23"/>
  <c r="J24" s="1"/>
  <c r="I23"/>
  <c r="I24" s="1"/>
  <c r="H23"/>
  <c r="H24" s="1"/>
  <c r="G23"/>
  <c r="G24" s="1"/>
  <c r="F23"/>
  <c r="F24" s="1"/>
  <c r="D20"/>
  <c r="E20" s="1"/>
  <c r="C19"/>
  <c r="C18"/>
  <c r="J9" i="2"/>
  <c r="J11" s="1"/>
  <c r="C4" i="3" s="1"/>
  <c r="K9" i="2"/>
  <c r="K11" s="1"/>
  <c r="C5" i="3" s="1"/>
  <c r="C8" s="1"/>
  <c r="E8" s="1"/>
  <c r="D4" i="4" s="1"/>
  <c r="C24" i="2"/>
  <c r="C11" i="4" s="1"/>
  <c r="C15" i="2"/>
  <c r="E9" i="4" s="1"/>
  <c r="C4" i="2"/>
  <c r="D8" i="4" s="1"/>
  <c r="E15" i="6"/>
  <c r="E14"/>
  <c r="E13"/>
  <c r="E12"/>
  <c r="E11"/>
  <c r="F21" i="2"/>
  <c r="F22"/>
  <c r="F20"/>
  <c r="E8" i="4" l="1"/>
  <c r="D11"/>
  <c r="E11"/>
  <c r="E4"/>
  <c r="C8"/>
  <c r="C4"/>
  <c r="C9"/>
  <c r="D9"/>
  <c r="C19" i="2"/>
  <c r="C30" s="1"/>
  <c r="C3" i="5"/>
  <c r="C2" s="1"/>
  <c r="C16" s="1"/>
  <c r="H25"/>
  <c r="H22" s="1"/>
  <c r="D18"/>
  <c r="D4"/>
  <c r="D3" s="1"/>
  <c r="D17" s="1"/>
  <c r="D19"/>
  <c r="AJ25"/>
  <c r="AJ22" s="1"/>
  <c r="X25"/>
  <c r="X22" s="1"/>
  <c r="T25"/>
  <c r="T22" s="1"/>
  <c r="F20"/>
  <c r="F18" s="1"/>
  <c r="E18"/>
  <c r="P25"/>
  <c r="P22" s="1"/>
  <c r="AF25"/>
  <c r="AF22" s="1"/>
  <c r="L25"/>
  <c r="L22" s="1"/>
  <c r="AB25"/>
  <c r="AB22" s="1"/>
  <c r="F25"/>
  <c r="F22" s="1"/>
  <c r="J25"/>
  <c r="J22" s="1"/>
  <c r="N25"/>
  <c r="N22" s="1"/>
  <c r="R25"/>
  <c r="R22" s="1"/>
  <c r="V25"/>
  <c r="V22" s="1"/>
  <c r="Z25"/>
  <c r="Z22" s="1"/>
  <c r="AD25"/>
  <c r="AD22" s="1"/>
  <c r="AH25"/>
  <c r="AH22" s="1"/>
  <c r="AL25"/>
  <c r="AL22" s="1"/>
  <c r="I25"/>
  <c r="I22" s="1"/>
  <c r="M25"/>
  <c r="M22" s="1"/>
  <c r="Q25"/>
  <c r="Q22" s="1"/>
  <c r="U25"/>
  <c r="U22" s="1"/>
  <c r="Y25"/>
  <c r="Y22" s="1"/>
  <c r="AC25"/>
  <c r="AC22" s="1"/>
  <c r="AG25"/>
  <c r="AG22" s="1"/>
  <c r="AK25"/>
  <c r="AK22" s="1"/>
  <c r="E4"/>
  <c r="E19"/>
  <c r="G25"/>
  <c r="G22" s="1"/>
  <c r="K25"/>
  <c r="K22" s="1"/>
  <c r="O25"/>
  <c r="O22" s="1"/>
  <c r="S25"/>
  <c r="S22" s="1"/>
  <c r="W25"/>
  <c r="W22" s="1"/>
  <c r="AA25"/>
  <c r="AA22" s="1"/>
  <c r="AE25"/>
  <c r="AE22" s="1"/>
  <c r="AI25"/>
  <c r="AI22" s="1"/>
  <c r="C8" i="6"/>
  <c r="E8" s="1"/>
  <c r="C7" s="1"/>
  <c r="C5"/>
  <c r="E5" s="1"/>
  <c r="C4" s="1"/>
  <c r="C10"/>
  <c r="C7" i="3"/>
  <c r="E10" i="4" l="1"/>
  <c r="C10"/>
  <c r="H5" i="6"/>
  <c r="D10" i="4"/>
  <c r="C15" i="5"/>
  <c r="C17"/>
  <c r="G20"/>
  <c r="H20" s="1"/>
  <c r="D2"/>
  <c r="D16" s="1"/>
  <c r="D15" s="1"/>
  <c r="F4"/>
  <c r="F3" s="1"/>
  <c r="F17" s="1"/>
  <c r="F19"/>
  <c r="G19"/>
  <c r="E3"/>
  <c r="E17" s="1"/>
  <c r="E19" i="6"/>
  <c r="H4" s="1"/>
  <c r="E7" i="3"/>
  <c r="H6" i="6" l="1"/>
  <c r="H10" s="1"/>
  <c r="H13" s="1"/>
  <c r="C28" i="2" s="1"/>
  <c r="C27" s="1"/>
  <c r="D3" i="4"/>
  <c r="E3"/>
  <c r="C3"/>
  <c r="D12"/>
  <c r="C12"/>
  <c r="E12"/>
  <c r="G4" i="5"/>
  <c r="G3" s="1"/>
  <c r="G17" s="1"/>
  <c r="G18"/>
  <c r="E2"/>
  <c r="E16" s="1"/>
  <c r="E15" s="1"/>
  <c r="F2"/>
  <c r="F16" s="1"/>
  <c r="F15" s="1"/>
  <c r="H4"/>
  <c r="I20"/>
  <c r="H19"/>
  <c r="H18"/>
  <c r="D6" i="4" l="1"/>
  <c r="D5"/>
  <c r="E6"/>
  <c r="E5"/>
  <c r="C6"/>
  <c r="C5"/>
  <c r="G2" i="5"/>
  <c r="G16" s="1"/>
  <c r="G15" s="1"/>
  <c r="J20"/>
  <c r="I19"/>
  <c r="I18"/>
  <c r="I4"/>
  <c r="H3"/>
  <c r="H17" s="1"/>
  <c r="C7" i="4" l="1"/>
  <c r="C13" s="1"/>
  <c r="D7"/>
  <c r="D13" s="1"/>
  <c r="E7"/>
  <c r="E13" s="1"/>
  <c r="J19" i="5"/>
  <c r="K20"/>
  <c r="J18"/>
  <c r="J4"/>
  <c r="H2"/>
  <c r="H16" s="1"/>
  <c r="H15" s="1"/>
  <c r="I3"/>
  <c r="I17" s="1"/>
  <c r="I2" l="1"/>
  <c r="I16" s="1"/>
  <c r="I15" s="1"/>
  <c r="K4"/>
  <c r="L20"/>
  <c r="K19"/>
  <c r="K18"/>
  <c r="J3"/>
  <c r="J17" s="1"/>
  <c r="K3" l="1"/>
  <c r="K17" s="1"/>
  <c r="M20"/>
  <c r="L19"/>
  <c r="L18"/>
  <c r="L4"/>
  <c r="J2"/>
  <c r="J16" s="1"/>
  <c r="J15" s="1"/>
  <c r="L3" l="1"/>
  <c r="L17" s="1"/>
  <c r="K2"/>
  <c r="K16" s="1"/>
  <c r="K15" s="1"/>
  <c r="N20"/>
  <c r="M19"/>
  <c r="M18"/>
  <c r="M4"/>
  <c r="M3" l="1"/>
  <c r="M17" s="1"/>
  <c r="L2"/>
  <c r="L16" s="1"/>
  <c r="L15" s="1"/>
  <c r="N18"/>
  <c r="O20"/>
  <c r="N19"/>
  <c r="N4"/>
  <c r="O4" l="1"/>
  <c r="P20"/>
  <c r="O19"/>
  <c r="O18"/>
  <c r="N3"/>
  <c r="N17" s="1"/>
  <c r="M2"/>
  <c r="M16" s="1"/>
  <c r="M15" s="1"/>
  <c r="O3" l="1"/>
  <c r="O17" s="1"/>
  <c r="P4"/>
  <c r="Q20"/>
  <c r="P19"/>
  <c r="P18"/>
  <c r="N2"/>
  <c r="N16" s="1"/>
  <c r="N15" s="1"/>
  <c r="O2" l="1"/>
  <c r="O16" s="1"/>
  <c r="O15" s="1"/>
  <c r="P3"/>
  <c r="P17" s="1"/>
  <c r="R20"/>
  <c r="Q19"/>
  <c r="Q18"/>
  <c r="Q4"/>
  <c r="P2" l="1"/>
  <c r="P16" s="1"/>
  <c r="P15" s="1"/>
  <c r="S20"/>
  <c r="R19"/>
  <c r="R18"/>
  <c r="R4"/>
  <c r="Q3"/>
  <c r="Q17" s="1"/>
  <c r="Q2" l="1"/>
  <c r="Q16" s="1"/>
  <c r="Q15" s="1"/>
  <c r="R3"/>
  <c r="R17" s="1"/>
  <c r="S4"/>
  <c r="T20"/>
  <c r="S19"/>
  <c r="S18"/>
  <c r="U20" l="1"/>
  <c r="T19"/>
  <c r="T18"/>
  <c r="T4"/>
  <c r="S3"/>
  <c r="S17" s="1"/>
  <c r="R2"/>
  <c r="R16" s="1"/>
  <c r="R15" s="1"/>
  <c r="S2" l="1"/>
  <c r="S16" s="1"/>
  <c r="S15" s="1"/>
  <c r="T3"/>
  <c r="T17" s="1"/>
  <c r="V20"/>
  <c r="U19"/>
  <c r="U18"/>
  <c r="U4"/>
  <c r="U3" l="1"/>
  <c r="U17" s="1"/>
  <c r="V18"/>
  <c r="W20"/>
  <c r="V19"/>
  <c r="V4"/>
  <c r="T2"/>
  <c r="T16" s="1"/>
  <c r="T15" s="1"/>
  <c r="U2" l="1"/>
  <c r="U16" s="1"/>
  <c r="U15" s="1"/>
  <c r="W4"/>
  <c r="X20"/>
  <c r="W19"/>
  <c r="W18"/>
  <c r="V3"/>
  <c r="V17" s="1"/>
  <c r="W3" l="1"/>
  <c r="W17" s="1"/>
  <c r="X4"/>
  <c r="Y20"/>
  <c r="X19"/>
  <c r="X18"/>
  <c r="V2"/>
  <c r="V16" s="1"/>
  <c r="V15" s="1"/>
  <c r="W2" l="1"/>
  <c r="W16" s="1"/>
  <c r="W15" s="1"/>
  <c r="Z20"/>
  <c r="Y19"/>
  <c r="Y18"/>
  <c r="Y4"/>
  <c r="X3"/>
  <c r="X17" s="1"/>
  <c r="Z19" l="1"/>
  <c r="AA20"/>
  <c r="Z18"/>
  <c r="Z4"/>
  <c r="Y3"/>
  <c r="Y17" s="1"/>
  <c r="X2"/>
  <c r="X16" s="1"/>
  <c r="X15" s="1"/>
  <c r="AA4" l="1"/>
  <c r="AB20"/>
  <c r="AA19"/>
  <c r="AA18"/>
  <c r="Z3"/>
  <c r="Z17" s="1"/>
  <c r="Y2"/>
  <c r="Y16" s="1"/>
  <c r="Y15" s="1"/>
  <c r="AA3" l="1"/>
  <c r="AA17" s="1"/>
  <c r="Z2"/>
  <c r="Z16" s="1"/>
  <c r="Z15" s="1"/>
  <c r="AC20"/>
  <c r="AB19"/>
  <c r="AB18"/>
  <c r="AB4"/>
  <c r="AA2" l="1"/>
  <c r="AA16" s="1"/>
  <c r="AA15" s="1"/>
  <c r="AB3"/>
  <c r="AB17" s="1"/>
  <c r="AD20"/>
  <c r="AC19"/>
  <c r="AC18"/>
  <c r="AC4"/>
  <c r="AC3" l="1"/>
  <c r="AC17" s="1"/>
  <c r="AB2"/>
  <c r="AB16" s="1"/>
  <c r="AB15" s="1"/>
  <c r="AD18"/>
  <c r="AE20"/>
  <c r="AD19"/>
  <c r="AD4"/>
  <c r="AE4" l="1"/>
  <c r="AF20"/>
  <c r="AE19"/>
  <c r="AE18"/>
  <c r="AD3"/>
  <c r="AD17" s="1"/>
  <c r="AC2"/>
  <c r="AC16" s="1"/>
  <c r="AC15" s="1"/>
  <c r="AE3" l="1"/>
  <c r="AE17" s="1"/>
  <c r="AD2"/>
  <c r="AD16" s="1"/>
  <c r="AD15" s="1"/>
  <c r="AF4"/>
  <c r="AG20"/>
  <c r="AF19"/>
  <c r="AF18"/>
  <c r="AH20" l="1"/>
  <c r="AG19"/>
  <c r="AG18"/>
  <c r="AG4"/>
  <c r="AF3"/>
  <c r="AF17" s="1"/>
  <c r="AE2"/>
  <c r="AE16" s="1"/>
  <c r="AE15" s="1"/>
  <c r="AI20" l="1"/>
  <c r="AH19"/>
  <c r="AH18"/>
  <c r="AH4"/>
  <c r="AF2"/>
  <c r="AF16" s="1"/>
  <c r="AF15" s="1"/>
  <c r="AG3"/>
  <c r="AG17" s="1"/>
  <c r="AI4" l="1"/>
  <c r="AJ20"/>
  <c r="AI19"/>
  <c r="AI18"/>
  <c r="AG2"/>
  <c r="AG16" s="1"/>
  <c r="AG15" s="1"/>
  <c r="AH3"/>
  <c r="AH17" s="1"/>
  <c r="AI3" l="1"/>
  <c r="AI17" s="1"/>
  <c r="AJ4"/>
  <c r="AK20"/>
  <c r="AJ19"/>
  <c r="AJ18"/>
  <c r="AH2"/>
  <c r="AH16" s="1"/>
  <c r="AH15" s="1"/>
  <c r="AJ3" l="1"/>
  <c r="AJ17" s="1"/>
  <c r="AL20"/>
  <c r="AK19"/>
  <c r="AK18"/>
  <c r="AK4"/>
  <c r="AI2"/>
  <c r="AI16" s="1"/>
  <c r="AI15" s="1"/>
  <c r="AL18" l="1"/>
  <c r="AL19"/>
  <c r="AL4"/>
  <c r="AK3"/>
  <c r="AK17" s="1"/>
  <c r="AJ2"/>
  <c r="AJ16" s="1"/>
  <c r="AJ15" s="1"/>
  <c r="AK2" l="1"/>
  <c r="AK16" s="1"/>
  <c r="AK15" s="1"/>
  <c r="AL3"/>
  <c r="AL17" s="1"/>
  <c r="AL2" l="1"/>
  <c r="AL16" s="1"/>
  <c r="AL15" s="1"/>
</calcChain>
</file>

<file path=xl/sharedStrings.xml><?xml version="1.0" encoding="utf-8"?>
<sst xmlns="http://schemas.openxmlformats.org/spreadsheetml/2006/main" count="154" uniqueCount="131">
  <si>
    <t>HT</t>
  </si>
  <si>
    <t>TTC</t>
  </si>
  <si>
    <t>CHARGE</t>
  </si>
  <si>
    <t>NOMBRE</t>
  </si>
  <si>
    <t>VENTE SONOS</t>
  </si>
  <si>
    <t>BRIDGE</t>
  </si>
  <si>
    <t>CONNECTEUR</t>
  </si>
  <si>
    <t>TOTAL HT</t>
  </si>
  <si>
    <t>MARGE</t>
  </si>
  <si>
    <t>MOIS 1</t>
  </si>
  <si>
    <t>MOIS 2</t>
  </si>
  <si>
    <t>MOIS 3</t>
  </si>
  <si>
    <t>MOIS 4</t>
  </si>
  <si>
    <t>MOIS 5</t>
  </si>
  <si>
    <t>MOIS 6</t>
  </si>
  <si>
    <t>MOIS 7</t>
  </si>
  <si>
    <t>MOIS 8</t>
  </si>
  <si>
    <t>MOIS 9</t>
  </si>
  <si>
    <t>MOIS 10</t>
  </si>
  <si>
    <t>MOIS 11</t>
  </si>
  <si>
    <t>MOIS 12</t>
  </si>
  <si>
    <t>MOIS 13</t>
  </si>
  <si>
    <t>MOIS 14</t>
  </si>
  <si>
    <t>MOIS 15</t>
  </si>
  <si>
    <t>MOIS 16</t>
  </si>
  <si>
    <t>MOIS 17</t>
  </si>
  <si>
    <t>MOIS 18</t>
  </si>
  <si>
    <t>MOIS 19</t>
  </si>
  <si>
    <t>MOIS 20</t>
  </si>
  <si>
    <t>MOIS 21</t>
  </si>
  <si>
    <t>MOIS 22</t>
  </si>
  <si>
    <t>MOIS 23</t>
  </si>
  <si>
    <t>MOIS 24</t>
  </si>
  <si>
    <t>MOIS 25</t>
  </si>
  <si>
    <t>MOIS 26</t>
  </si>
  <si>
    <t>MOIS 27</t>
  </si>
  <si>
    <t>MOIS 28</t>
  </si>
  <si>
    <t>MOIS 29</t>
  </si>
  <si>
    <t>MOIS 30</t>
  </si>
  <si>
    <t>MOIS 31</t>
  </si>
  <si>
    <t>MOIS 32</t>
  </si>
  <si>
    <t>MOIS 33</t>
  </si>
  <si>
    <t>MOIS 34</t>
  </si>
  <si>
    <t>MOIS 35</t>
  </si>
  <si>
    <t>MOIS 36</t>
  </si>
  <si>
    <t>TOTAL DEPENSE VARIABLE TTC</t>
  </si>
  <si>
    <t>COUT UNITAIRE</t>
  </si>
  <si>
    <t>NOM COMPOSANT</t>
  </si>
  <si>
    <t>RECETTE PRODUIT</t>
  </si>
  <si>
    <t>- BRIDGE</t>
  </si>
  <si>
    <t>- CONNECTEUR</t>
  </si>
  <si>
    <t>VENTE UNITAIRE</t>
  </si>
  <si>
    <t>ANNEE 1</t>
  </si>
  <si>
    <t>TRIMESTRE 1</t>
  </si>
  <si>
    <t>TRIMESTRE 2</t>
  </si>
  <si>
    <t>TRIMESTRE 3</t>
  </si>
  <si>
    <t>TRIMESTRE 4</t>
  </si>
  <si>
    <t>ANNEE 2</t>
  </si>
  <si>
    <t>ANNEE 3</t>
  </si>
  <si>
    <t>TOTAL</t>
  </si>
  <si>
    <t>- PACK START</t>
  </si>
  <si>
    <t>- PACK UPDATE</t>
  </si>
  <si>
    <t>AUTRE VENTE</t>
  </si>
  <si>
    <t>EXP</t>
  </si>
  <si>
    <t>START</t>
  </si>
  <si>
    <t>UPDATE</t>
  </si>
  <si>
    <t>DEPENSE DE LANCEMENT</t>
  </si>
  <si>
    <t>- IPHONE</t>
  </si>
  <si>
    <t>- WINDOWS PHONE</t>
  </si>
  <si>
    <t>- BLACKBERRY</t>
  </si>
  <si>
    <t>- ANDROID</t>
  </si>
  <si>
    <t>- LICENSE FLASH BUILDER PRO</t>
  </si>
  <si>
    <t>SALAIRES</t>
  </si>
  <si>
    <t>ABONNEMENTS</t>
  </si>
  <si>
    <t>REMOTE</t>
  </si>
  <si>
    <t>- MATERIEL BRIDGE</t>
  </si>
  <si>
    <t>- MATERIEL CONNECTEUR</t>
  </si>
  <si>
    <t>SITE INTERNET</t>
  </si>
  <si>
    <t>PUBLICITE</t>
  </si>
  <si>
    <t>CREDIT BANQUE</t>
  </si>
  <si>
    <t>COUT</t>
  </si>
  <si>
    <t>REMBOURSEMENT</t>
  </si>
  <si>
    <t>EMPRUNT</t>
  </si>
  <si>
    <t>NOMBRE DE MOIS</t>
  </si>
  <si>
    <t>TAUX D'INTERET</t>
  </si>
  <si>
    <t>MENSUALITE</t>
  </si>
  <si>
    <t>LOCATION BUREAU</t>
  </si>
  <si>
    <t>AUTRES</t>
  </si>
  <si>
    <t>- DEPENSE DE LANCEMENT</t>
  </si>
  <si>
    <t>- 3 MOIS DE SALAIRE</t>
  </si>
  <si>
    <t>- LOYER</t>
  </si>
  <si>
    <t>- INTERNET</t>
  </si>
  <si>
    <t>- EAU</t>
  </si>
  <si>
    <t>- ELECTRICITE</t>
  </si>
  <si>
    <t>- ASSURANCE</t>
  </si>
  <si>
    <t>- SPOTIFY PREMIUM</t>
  </si>
  <si>
    <t>- GITHUB PRIVE</t>
  </si>
  <si>
    <t>- DAVY</t>
  </si>
  <si>
    <t>- RAPHAËL</t>
  </si>
  <si>
    <t>- CHARLES</t>
  </si>
  <si>
    <t>- RASPBERRY PI</t>
  </si>
  <si>
    <t>- ALIMENTATION</t>
  </si>
  <si>
    <t>- ETHERNET</t>
  </si>
  <si>
    <t>- CARTE SD</t>
  </si>
  <si>
    <t>- CLEF WIFI</t>
  </si>
  <si>
    <t>DEPENSE FIXE MENSUEL</t>
  </si>
  <si>
    <t>COÛT PRODUIT UNITAIRE</t>
  </si>
  <si>
    <t>COUT UNITAIRE HT</t>
  </si>
  <si>
    <t>COMPOSANT DU BRIDGE</t>
  </si>
  <si>
    <t>COMPOSANT DU CONNECTEUR</t>
  </si>
  <si>
    <t>- TVA</t>
  </si>
  <si>
    <t>RATIO</t>
  </si>
  <si>
    <t>RACINE</t>
  </si>
  <si>
    <t>- FOURNISSEUR</t>
  </si>
  <si>
    <t>- REMBOURSEMENT LANCEMENT</t>
  </si>
  <si>
    <t>VENTE WMUSIC</t>
  </si>
  <si>
    <t>MARCHE</t>
  </si>
  <si>
    <t>- WMUSIC</t>
  </si>
  <si>
    <t>- SONOS</t>
  </si>
  <si>
    <t>- AUTRES</t>
  </si>
  <si>
    <t>EVOLUTION DU MARCHE SYSTÈME AUDIO WIFI</t>
  </si>
  <si>
    <t>PREVISION DES VENTES SUR LES TROIS PREMIERES ANNEES</t>
  </si>
  <si>
    <t>- LOCATION BUREAU</t>
  </si>
  <si>
    <t>- ABONNEMENTS</t>
  </si>
  <si>
    <t>- SALAIRES</t>
  </si>
  <si>
    <t>- CREDITS BANQUE</t>
  </si>
  <si>
    <t>OPERATING PROFIT</t>
  </si>
  <si>
    <t>GROSS MARGIN</t>
  </si>
  <si>
    <t>SALES</t>
  </si>
  <si>
    <t>- DOMAINE .COM</t>
  </si>
  <si>
    <t>- HEBERGEMENT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</si>
</sst>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0.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>
        <bgColor theme="0" tint="-0.24997711111789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Font="1"/>
    <xf numFmtId="0" fontId="0" fillId="0" borderId="0" xfId="0" applyBorder="1" applyAlignment="1">
      <alignment horizontal="left" vertical="center" wrapText="1"/>
    </xf>
    <xf numFmtId="44" fontId="2" fillId="0" borderId="0" xfId="1" applyFont="1" applyBorder="1" applyAlignment="1">
      <alignment vertical="center"/>
    </xf>
    <xf numFmtId="44" fontId="0" fillId="0" borderId="0" xfId="1" applyFont="1" applyBorder="1" applyAlignment="1">
      <alignment vertical="center"/>
    </xf>
    <xf numFmtId="164" fontId="0" fillId="0" borderId="0" xfId="1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Font="1" applyAlignment="1">
      <alignment wrapText="1"/>
    </xf>
    <xf numFmtId="44" fontId="0" fillId="0" borderId="0" xfId="1" applyFont="1" applyAlignment="1">
      <alignment vertical="center"/>
    </xf>
    <xf numFmtId="0" fontId="0" fillId="0" borderId="0" xfId="0" applyBorder="1" applyAlignment="1">
      <alignment vertical="center"/>
    </xf>
    <xf numFmtId="4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Alignment="1">
      <alignment vertical="center"/>
    </xf>
    <xf numFmtId="0" fontId="2" fillId="0" borderId="0" xfId="0" applyNumberFormat="1" applyFont="1" applyAlignment="1">
      <alignment vertical="center"/>
    </xf>
    <xf numFmtId="0" fontId="0" fillId="0" borderId="0" xfId="0" applyNumberFormat="1" applyFont="1" applyAlignment="1">
      <alignment vertical="center"/>
    </xf>
    <xf numFmtId="44" fontId="0" fillId="0" borderId="0" xfId="0" quotePrefix="1" applyNumberFormat="1" applyBorder="1" applyAlignment="1">
      <alignment vertical="center"/>
    </xf>
    <xf numFmtId="44" fontId="0" fillId="0" borderId="0" xfId="0" quotePrefix="1" applyNumberFormat="1" applyBorder="1" applyAlignment="1">
      <alignment horizontal="left" vertical="center"/>
    </xf>
    <xf numFmtId="44" fontId="0" fillId="0" borderId="0" xfId="1" quotePrefix="1" applyNumberFormat="1" applyFont="1" applyBorder="1" applyAlignment="1">
      <alignment horizontal="left" vertical="center"/>
    </xf>
    <xf numFmtId="44" fontId="0" fillId="0" borderId="0" xfId="1" applyNumberFormat="1" applyFont="1" applyBorder="1" applyAlignment="1">
      <alignment vertical="center"/>
    </xf>
    <xf numFmtId="44" fontId="0" fillId="0" borderId="0" xfId="0" applyNumberFormat="1" applyBorder="1" applyAlignment="1">
      <alignment vertical="center"/>
    </xf>
    <xf numFmtId="44" fontId="2" fillId="0" borderId="0" xfId="0" applyNumberFormat="1" applyFont="1" applyAlignment="1">
      <alignment vertical="center"/>
    </xf>
    <xf numFmtId="44" fontId="0" fillId="0" borderId="0" xfId="0" applyNumberFormat="1" applyFont="1" applyAlignment="1">
      <alignment vertical="center"/>
    </xf>
    <xf numFmtId="44" fontId="0" fillId="0" borderId="0" xfId="1" applyFon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/>
    </xf>
    <xf numFmtId="44" fontId="2" fillId="2" borderId="0" xfId="1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9" fontId="0" fillId="3" borderId="0" xfId="0" applyNumberForma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 wrapText="1"/>
    </xf>
    <xf numFmtId="44" fontId="0" fillId="2" borderId="0" xfId="1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" fillId="5" borderId="2" xfId="1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 wrapText="1"/>
    </xf>
    <xf numFmtId="0" fontId="0" fillId="3" borderId="3" xfId="0" quotePrefix="1" applyFill="1" applyBorder="1" applyAlignment="1">
      <alignment horizontal="left" vertical="center" wrapText="1" indent="1"/>
    </xf>
    <xf numFmtId="44" fontId="0" fillId="2" borderId="8" xfId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44" fontId="2" fillId="2" borderId="8" xfId="1" applyFont="1" applyFill="1" applyBorder="1" applyAlignment="1">
      <alignment vertical="center"/>
    </xf>
    <xf numFmtId="44" fontId="0" fillId="0" borderId="8" xfId="0" applyNumberFormat="1" applyBorder="1" applyAlignment="1">
      <alignment vertical="center"/>
    </xf>
    <xf numFmtId="44" fontId="0" fillId="3" borderId="8" xfId="0" applyNumberFormat="1" applyFill="1" applyBorder="1" applyAlignment="1">
      <alignment vertical="center"/>
    </xf>
    <xf numFmtId="44" fontId="2" fillId="2" borderId="8" xfId="0" applyNumberFormat="1" applyFont="1" applyFill="1" applyBorder="1" applyAlignment="1">
      <alignment vertical="center"/>
    </xf>
    <xf numFmtId="44" fontId="0" fillId="2" borderId="8" xfId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8" xfId="0" applyFill="1" applyBorder="1" applyAlignment="1">
      <alignment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0" fillId="0" borderId="8" xfId="1" applyNumberFormat="1" applyFont="1" applyBorder="1" applyAlignment="1">
      <alignment horizontal="right" vertical="center"/>
    </xf>
    <xf numFmtId="0" fontId="0" fillId="6" borderId="13" xfId="0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164" fontId="1" fillId="0" borderId="0" xfId="1" applyNumberFormat="1" applyFont="1" applyBorder="1" applyAlignment="1">
      <alignment horizontal="right" vertical="center"/>
    </xf>
    <xf numFmtId="164" fontId="1" fillId="0" borderId="8" xfId="1" applyNumberFormat="1" applyFont="1" applyBorder="1" applyAlignment="1">
      <alignment horizontal="right" vertical="center"/>
    </xf>
    <xf numFmtId="0" fontId="0" fillId="3" borderId="0" xfId="0" applyFill="1" applyBorder="1" applyAlignment="1">
      <alignment horizontal="right" vertical="center" wrapText="1"/>
    </xf>
    <xf numFmtId="0" fontId="0" fillId="3" borderId="8" xfId="1" applyNumberFormat="1" applyFont="1" applyFill="1" applyBorder="1" applyAlignment="1">
      <alignment horizontal="right" vertical="center"/>
    </xf>
    <xf numFmtId="44" fontId="2" fillId="4" borderId="0" xfId="1" applyFont="1" applyFill="1" applyBorder="1" applyAlignment="1">
      <alignment horizontal="center" vertical="center"/>
    </xf>
    <xf numFmtId="44" fontId="2" fillId="4" borderId="8" xfId="0" applyNumberFormat="1" applyFont="1" applyFill="1" applyBorder="1" applyAlignment="1">
      <alignment horizontal="center" vertical="center" wrapText="1"/>
    </xf>
    <xf numFmtId="44" fontId="2" fillId="4" borderId="2" xfId="1" applyFont="1" applyFill="1" applyBorder="1" applyAlignment="1">
      <alignment horizontal="center" vertical="center"/>
    </xf>
    <xf numFmtId="44" fontId="2" fillId="4" borderId="9" xfId="1" applyFont="1" applyFill="1" applyBorder="1" applyAlignment="1">
      <alignment horizontal="center" vertical="center"/>
    </xf>
    <xf numFmtId="0" fontId="0" fillId="2" borderId="0" xfId="0" quotePrefix="1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4" fontId="0" fillId="3" borderId="0" xfId="1" quotePrefix="1" applyNumberFormat="1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4" borderId="3" xfId="0" applyNumberFormat="1" applyFont="1" applyFill="1" applyBorder="1" applyAlignment="1">
      <alignment vertical="center"/>
    </xf>
    <xf numFmtId="0" fontId="0" fillId="0" borderId="3" xfId="0" quotePrefix="1" applyNumberFormat="1" applyBorder="1" applyAlignment="1">
      <alignment horizontal="left" vertical="center" indent="1"/>
    </xf>
    <xf numFmtId="0" fontId="0" fillId="2" borderId="3" xfId="0" quotePrefix="1" applyNumberFormat="1" applyFill="1" applyBorder="1" applyAlignment="1">
      <alignment vertical="center"/>
    </xf>
    <xf numFmtId="0" fontId="0" fillId="2" borderId="8" xfId="0" quotePrefix="1" applyNumberFormat="1" applyFill="1" applyBorder="1" applyAlignment="1">
      <alignment vertical="center"/>
    </xf>
    <xf numFmtId="0" fontId="2" fillId="4" borderId="3" xfId="0" applyNumberFormat="1" applyFont="1" applyFill="1" applyBorder="1" applyAlignment="1">
      <alignment horizontal="left" vertical="center"/>
    </xf>
    <xf numFmtId="0" fontId="0" fillId="0" borderId="3" xfId="1" quotePrefix="1" applyNumberFormat="1" applyFont="1" applyBorder="1" applyAlignment="1">
      <alignment horizontal="left" vertical="center" indent="1"/>
    </xf>
    <xf numFmtId="0" fontId="0" fillId="3" borderId="3" xfId="1" quotePrefix="1" applyNumberFormat="1" applyFont="1" applyFill="1" applyBorder="1" applyAlignment="1">
      <alignment horizontal="left" vertical="center" indent="1"/>
    </xf>
    <xf numFmtId="0" fontId="0" fillId="6" borderId="6" xfId="0" applyNumberFormat="1" applyFill="1" applyBorder="1" applyAlignment="1">
      <alignment horizontal="left" vertical="center"/>
    </xf>
    <xf numFmtId="44" fontId="2" fillId="5" borderId="10" xfId="0" applyNumberFormat="1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0" fillId="0" borderId="3" xfId="0" quotePrefix="1" applyBorder="1" applyAlignment="1">
      <alignment horizontal="left" vertical="center" indent="1"/>
    </xf>
    <xf numFmtId="0" fontId="0" fillId="3" borderId="3" xfId="0" quotePrefix="1" applyFill="1" applyBorder="1" applyAlignment="1">
      <alignment horizontal="left" vertical="center" indent="1"/>
    </xf>
    <xf numFmtId="0" fontId="2" fillId="5" borderId="6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left" vertical="center"/>
    </xf>
    <xf numFmtId="44" fontId="2" fillId="4" borderId="12" xfId="0" applyNumberFormat="1" applyFont="1" applyFill="1" applyBorder="1" applyAlignment="1">
      <alignment vertical="center"/>
    </xf>
    <xf numFmtId="44" fontId="2" fillId="5" borderId="12" xfId="0" applyNumberFormat="1" applyFont="1" applyFill="1" applyBorder="1" applyAlignment="1">
      <alignment vertical="center"/>
    </xf>
    <xf numFmtId="0" fontId="0" fillId="3" borderId="3" xfId="0" applyFill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2" fillId="4" borderId="1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164" fontId="0" fillId="0" borderId="8" xfId="2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center" wrapText="1"/>
    </xf>
    <xf numFmtId="4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quotePrefix="1" applyNumberFormat="1" applyFont="1" applyFill="1" applyBorder="1" applyAlignment="1"/>
    <xf numFmtId="0" fontId="1" fillId="0" borderId="0" xfId="1" applyNumberFormat="1" applyFont="1" applyFill="1" applyBorder="1" applyAlignment="1"/>
    <xf numFmtId="0" fontId="1" fillId="0" borderId="0" xfId="1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right" vertical="center"/>
    </xf>
    <xf numFmtId="1" fontId="0" fillId="0" borderId="0" xfId="0" applyNumberFormat="1" applyFont="1" applyFill="1" applyBorder="1" applyAlignment="1">
      <alignment vertical="center"/>
    </xf>
    <xf numFmtId="10" fontId="1" fillId="0" borderId="0" xfId="2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10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0" fillId="0" borderId="0" xfId="0" applyFont="1" applyFill="1" applyBorder="1" applyAlignment="1">
      <alignment vertical="center" wrapText="1"/>
    </xf>
    <xf numFmtId="0" fontId="0" fillId="0" borderId="3" xfId="0" quotePrefix="1" applyFont="1" applyBorder="1" applyAlignment="1">
      <alignment horizontal="left" vertical="center" wrapText="1"/>
    </xf>
    <xf numFmtId="44" fontId="1" fillId="0" borderId="8" xfId="1" applyFont="1" applyBorder="1" applyAlignment="1">
      <alignment horizontal="center" vertical="center"/>
    </xf>
    <xf numFmtId="0" fontId="0" fillId="3" borderId="3" xfId="0" quotePrefix="1" applyFont="1" applyFill="1" applyBorder="1" applyAlignment="1">
      <alignment horizontal="left" vertical="center" wrapText="1"/>
    </xf>
    <xf numFmtId="44" fontId="1" fillId="3" borderId="8" xfId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8" xfId="0" applyFont="1" applyFill="1" applyBorder="1" applyAlignment="1">
      <alignment vertical="center" wrapText="1"/>
    </xf>
    <xf numFmtId="0" fontId="0" fillId="3" borderId="4" xfId="0" quotePrefix="1" applyFont="1" applyFill="1" applyBorder="1" applyAlignment="1">
      <alignment vertical="center" wrapText="1"/>
    </xf>
    <xf numFmtId="44" fontId="0" fillId="3" borderId="5" xfId="0" applyNumberFormat="1" applyFont="1" applyFill="1" applyBorder="1" applyAlignment="1">
      <alignment vertical="center" wrapText="1"/>
    </xf>
    <xf numFmtId="10" fontId="1" fillId="3" borderId="5" xfId="1" applyNumberFormat="1" applyFont="1" applyFill="1" applyBorder="1" applyAlignment="1">
      <alignment vertical="center"/>
    </xf>
    <xf numFmtId="44" fontId="1" fillId="3" borderId="7" xfId="1" applyNumberFormat="1" applyFont="1" applyFill="1" applyBorder="1" applyAlignment="1">
      <alignment horizontal="right" vertical="center"/>
    </xf>
    <xf numFmtId="0" fontId="0" fillId="0" borderId="1" xfId="0" quotePrefix="1" applyFont="1" applyBorder="1" applyAlignment="1">
      <alignment vertical="center" wrapText="1"/>
    </xf>
    <xf numFmtId="44" fontId="0" fillId="0" borderId="2" xfId="0" applyNumberFormat="1" applyFont="1" applyBorder="1" applyAlignment="1">
      <alignment vertical="center" wrapText="1"/>
    </xf>
    <xf numFmtId="10" fontId="1" fillId="0" borderId="2" xfId="1" applyNumberFormat="1" applyFont="1" applyBorder="1" applyAlignment="1">
      <alignment vertical="center"/>
    </xf>
    <xf numFmtId="44" fontId="1" fillId="0" borderId="9" xfId="1" applyNumberFormat="1" applyFont="1" applyBorder="1" applyAlignment="1">
      <alignment horizontal="right" vertical="center"/>
    </xf>
    <xf numFmtId="0" fontId="2" fillId="5" borderId="2" xfId="0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/>
    </xf>
    <xf numFmtId="44" fontId="0" fillId="3" borderId="0" xfId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vertical="center"/>
    </xf>
    <xf numFmtId="164" fontId="1" fillId="0" borderId="0" xfId="2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1" fontId="2" fillId="4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" fontId="2" fillId="5" borderId="0" xfId="0" applyNumberFormat="1" applyFont="1" applyFill="1" applyBorder="1" applyAlignment="1">
      <alignment vertical="center"/>
    </xf>
    <xf numFmtId="10" fontId="2" fillId="4" borderId="0" xfId="0" applyNumberFormat="1" applyFont="1" applyFill="1" applyBorder="1" applyAlignment="1">
      <alignment vertical="center"/>
    </xf>
    <xf numFmtId="10" fontId="0" fillId="3" borderId="0" xfId="0" applyNumberFormat="1" applyFont="1" applyFill="1" applyBorder="1" applyAlignment="1">
      <alignment vertical="center"/>
    </xf>
    <xf numFmtId="0" fontId="2" fillId="4" borderId="3" xfId="0" applyFont="1" applyFill="1" applyBorder="1" applyAlignment="1">
      <alignment vertical="center" wrapText="1"/>
    </xf>
    <xf numFmtId="1" fontId="2" fillId="4" borderId="8" xfId="0" applyNumberFormat="1" applyFont="1" applyFill="1" applyBorder="1" applyAlignment="1">
      <alignment vertical="center"/>
    </xf>
    <xf numFmtId="0" fontId="0" fillId="0" borderId="3" xfId="0" quotePrefix="1" applyFill="1" applyBorder="1" applyAlignment="1">
      <alignment horizontal="left" vertical="center" wrapText="1" indent="1"/>
    </xf>
    <xf numFmtId="1" fontId="0" fillId="0" borderId="8" xfId="0" applyNumberFormat="1" applyFont="1" applyFill="1" applyBorder="1" applyAlignment="1">
      <alignment vertical="center"/>
    </xf>
    <xf numFmtId="1" fontId="0" fillId="3" borderId="8" xfId="0" applyNumberFormat="1" applyFont="1" applyFill="1" applyBorder="1" applyAlignment="1">
      <alignment vertical="center"/>
    </xf>
    <xf numFmtId="0" fontId="2" fillId="5" borderId="3" xfId="0" applyNumberFormat="1" applyFont="1" applyFill="1" applyBorder="1" applyAlignment="1">
      <alignment vertical="center" wrapText="1"/>
    </xf>
    <xf numFmtId="1" fontId="2" fillId="5" borderId="8" xfId="0" applyNumberFormat="1" applyFont="1" applyFill="1" applyBorder="1" applyAlignment="1">
      <alignment vertical="center"/>
    </xf>
    <xf numFmtId="0" fontId="0" fillId="2" borderId="3" xfId="0" applyNumberFormat="1" applyFont="1" applyFill="1" applyBorder="1" applyAlignment="1">
      <alignment vertical="center" wrapText="1"/>
    </xf>
    <xf numFmtId="1" fontId="0" fillId="2" borderId="8" xfId="0" applyNumberFormat="1" applyFont="1" applyFill="1" applyBorder="1" applyAlignment="1">
      <alignment vertical="center"/>
    </xf>
    <xf numFmtId="10" fontId="2" fillId="4" borderId="3" xfId="0" applyNumberFormat="1" applyFont="1" applyFill="1" applyBorder="1" applyAlignment="1">
      <alignment vertical="center" wrapText="1"/>
    </xf>
    <xf numFmtId="10" fontId="2" fillId="4" borderId="8" xfId="0" applyNumberFormat="1" applyFont="1" applyFill="1" applyBorder="1" applyAlignment="1">
      <alignment vertical="center"/>
    </xf>
    <xf numFmtId="10" fontId="0" fillId="0" borderId="3" xfId="0" quotePrefix="1" applyNumberFormat="1" applyFill="1" applyBorder="1" applyAlignment="1">
      <alignment horizontal="left" vertical="center" wrapText="1" indent="1"/>
    </xf>
    <xf numFmtId="10" fontId="0" fillId="0" borderId="8" xfId="0" applyNumberFormat="1" applyFont="1" applyFill="1" applyBorder="1" applyAlignment="1">
      <alignment vertical="center"/>
    </xf>
    <xf numFmtId="10" fontId="0" fillId="3" borderId="3" xfId="0" quotePrefix="1" applyNumberFormat="1" applyFill="1" applyBorder="1" applyAlignment="1">
      <alignment horizontal="left" vertical="center" wrapText="1" indent="1"/>
    </xf>
    <xf numFmtId="10" fontId="0" fillId="3" borderId="8" xfId="0" applyNumberFormat="1" applyFont="1" applyFill="1" applyBorder="1" applyAlignment="1">
      <alignment vertical="center"/>
    </xf>
    <xf numFmtId="10" fontId="0" fillId="0" borderId="1" xfId="0" quotePrefix="1" applyNumberFormat="1" applyFill="1" applyBorder="1" applyAlignment="1">
      <alignment horizontal="left" vertical="center" wrapText="1" indent="1"/>
    </xf>
    <xf numFmtId="10" fontId="0" fillId="0" borderId="2" xfId="0" applyNumberFormat="1" applyFont="1" applyFill="1" applyBorder="1" applyAlignment="1">
      <alignment vertical="center"/>
    </xf>
    <xf numFmtId="10" fontId="0" fillId="0" borderId="9" xfId="0" applyNumberFormat="1" applyFont="1" applyFill="1" applyBorder="1" applyAlignment="1">
      <alignment vertical="center"/>
    </xf>
    <xf numFmtId="0" fontId="0" fillId="2" borderId="4" xfId="0" applyFont="1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/>
    <xf numFmtId="0" fontId="0" fillId="0" borderId="3" xfId="0" quotePrefix="1" applyNumberFormat="1" applyFill="1" applyBorder="1" applyAlignment="1">
      <alignment horizontal="left" vertical="center" indent="1"/>
    </xf>
    <xf numFmtId="44" fontId="0" fillId="0" borderId="8" xfId="1" applyFont="1" applyFill="1" applyBorder="1" applyAlignment="1">
      <alignment vertical="center"/>
    </xf>
    <xf numFmtId="44" fontId="0" fillId="0" borderId="8" xfId="0" applyNumberFormat="1" applyFont="1" applyFill="1" applyBorder="1" applyAlignment="1">
      <alignment vertical="center"/>
    </xf>
    <xf numFmtId="0" fontId="0" fillId="3" borderId="3" xfId="0" quotePrefix="1" applyNumberFormat="1" applyFill="1" applyBorder="1" applyAlignment="1">
      <alignment horizontal="left" vertical="center" indent="1"/>
    </xf>
    <xf numFmtId="44" fontId="0" fillId="3" borderId="0" xfId="1" applyFont="1" applyFill="1" applyBorder="1" applyAlignment="1">
      <alignment vertical="center"/>
    </xf>
    <xf numFmtId="44" fontId="0" fillId="3" borderId="8" xfId="1" applyFont="1" applyFill="1" applyBorder="1" applyAlignment="1">
      <alignment vertical="center"/>
    </xf>
    <xf numFmtId="44" fontId="0" fillId="3" borderId="0" xfId="0" applyNumberFormat="1" applyFont="1" applyFill="1" applyBorder="1" applyAlignment="1">
      <alignment vertical="center"/>
    </xf>
    <xf numFmtId="44" fontId="0" fillId="3" borderId="8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44" fontId="2" fillId="4" borderId="2" xfId="0" applyNumberFormat="1" applyFont="1" applyFill="1" applyBorder="1" applyAlignment="1">
      <alignment vertical="center"/>
    </xf>
    <xf numFmtId="44" fontId="2" fillId="4" borderId="9" xfId="0" applyNumberFormat="1" applyFont="1" applyFill="1" applyBorder="1" applyAlignment="1">
      <alignment vertical="center"/>
    </xf>
    <xf numFmtId="44" fontId="2" fillId="4" borderId="0" xfId="0" applyNumberFormat="1" applyFont="1" applyFill="1" applyBorder="1" applyAlignment="1">
      <alignment vertical="center"/>
    </xf>
    <xf numFmtId="44" fontId="2" fillId="4" borderId="8" xfId="0" applyNumberFormat="1" applyFont="1" applyFill="1" applyBorder="1" applyAlignment="1">
      <alignment vertical="center"/>
    </xf>
    <xf numFmtId="0" fontId="0" fillId="2" borderId="10" xfId="0" applyNumberFormat="1" applyFont="1" applyFill="1" applyBorder="1" applyAlignment="1">
      <alignment wrapText="1"/>
    </xf>
    <xf numFmtId="0" fontId="2" fillId="5" borderId="11" xfId="0" applyNumberFormat="1" applyFont="1" applyFill="1" applyBorder="1" applyAlignment="1">
      <alignment horizontal="center" vertical="center" wrapText="1"/>
    </xf>
    <xf numFmtId="0" fontId="2" fillId="5" borderId="12" xfId="1" applyNumberFormat="1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/>
    </xf>
    <xf numFmtId="44" fontId="2" fillId="5" borderId="11" xfId="1" applyFont="1" applyFill="1" applyBorder="1" applyAlignment="1">
      <alignment horizontal="center" vertical="center" wrapText="1"/>
    </xf>
    <xf numFmtId="0" fontId="0" fillId="2" borderId="3" xfId="0" quotePrefix="1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44" fontId="0" fillId="0" borderId="8" xfId="1" quotePrefix="1" applyNumberFormat="1" applyFont="1" applyBorder="1" applyAlignment="1">
      <alignment horizontal="left" vertical="center"/>
    </xf>
    <xf numFmtId="0" fontId="0" fillId="3" borderId="0" xfId="0" applyFill="1" applyBorder="1" applyAlignment="1">
      <alignment horizontal="left" vertical="center" wrapText="1"/>
    </xf>
    <xf numFmtId="44" fontId="0" fillId="3" borderId="8" xfId="1" quotePrefix="1" applyNumberFormat="1" applyFont="1" applyFill="1" applyBorder="1" applyAlignment="1">
      <alignment horizontal="left" vertical="center"/>
    </xf>
    <xf numFmtId="0" fontId="0" fillId="0" borderId="3" xfId="0" quotePrefix="1" applyBorder="1" applyAlignment="1">
      <alignment horizontal="left" vertical="center" wrapText="1" indent="1"/>
    </xf>
    <xf numFmtId="0" fontId="0" fillId="0" borderId="3" xfId="0" quotePrefix="1" applyFont="1" applyBorder="1" applyAlignment="1">
      <alignment horizontal="left" vertical="center" wrapText="1" indent="1"/>
    </xf>
    <xf numFmtId="0" fontId="2" fillId="5" borderId="10" xfId="0" applyNumberFormat="1" applyFont="1" applyFill="1" applyBorder="1" applyAlignment="1">
      <alignment vertical="center"/>
    </xf>
    <xf numFmtId="0" fontId="2" fillId="5" borderId="11" xfId="0" applyNumberFormat="1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10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44" fontId="2" fillId="4" borderId="0" xfId="0" quotePrefix="1" applyNumberFormat="1" applyFont="1" applyFill="1" applyBorder="1" applyAlignment="1">
      <alignment horizontal="right" vertical="center"/>
    </xf>
    <xf numFmtId="44" fontId="2" fillId="4" borderId="8" xfId="0" quotePrefix="1" applyNumberFormat="1" applyFont="1" applyFill="1" applyBorder="1" applyAlignment="1">
      <alignment horizontal="right" vertical="center"/>
    </xf>
    <xf numFmtId="0" fontId="3" fillId="7" borderId="11" xfId="0" applyFont="1" applyFill="1" applyBorder="1" applyAlignment="1">
      <alignment horizontal="left" vertical="center"/>
    </xf>
    <xf numFmtId="44" fontId="2" fillId="4" borderId="0" xfId="0" quotePrefix="1" applyNumberFormat="1" applyFont="1" applyFill="1" applyBorder="1" applyAlignment="1">
      <alignment horizontal="center" vertical="center"/>
    </xf>
    <xf numFmtId="44" fontId="2" fillId="4" borderId="8" xfId="0" quotePrefix="1" applyNumberFormat="1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0" xfId="0" applyFont="1" applyFill="1" applyBorder="1" applyAlignment="1">
      <alignment horizontal="left" vertical="center" wrapText="1"/>
    </xf>
    <xf numFmtId="0" fontId="0" fillId="0" borderId="3" xfId="0" quotePrefix="1" applyBorder="1" applyAlignment="1">
      <alignment horizontal="left" vertical="center" wrapText="1" indent="1"/>
    </xf>
    <xf numFmtId="0" fontId="0" fillId="0" borderId="0" xfId="0" applyFont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44" fontId="2" fillId="4" borderId="5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44" fontId="0" fillId="0" borderId="0" xfId="0" applyNumberFormat="1" applyFont="1" applyBorder="1" applyAlignment="1">
      <alignment horizontal="center" vertical="center"/>
    </xf>
    <xf numFmtId="44" fontId="0" fillId="0" borderId="8" xfId="0" applyNumberFormat="1" applyFont="1" applyBorder="1" applyAlignment="1">
      <alignment horizontal="center" vertic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8" xfId="0" applyNumberFormat="1" applyFont="1" applyFill="1" applyBorder="1" applyAlignment="1">
      <alignment horizontal="center" vertical="center"/>
    </xf>
    <xf numFmtId="44" fontId="2" fillId="4" borderId="0" xfId="0" applyNumberFormat="1" applyFont="1" applyFill="1" applyBorder="1" applyAlignment="1">
      <alignment horizontal="right" vertical="center" wrapText="1"/>
    </xf>
    <xf numFmtId="44" fontId="2" fillId="4" borderId="8" xfId="0" applyNumberFormat="1" applyFont="1" applyFill="1" applyBorder="1" applyAlignment="1">
      <alignment horizontal="right" vertical="center" wrapText="1"/>
    </xf>
    <xf numFmtId="44" fontId="2" fillId="4" borderId="0" xfId="0" applyNumberFormat="1" applyFont="1" applyFill="1" applyBorder="1" applyAlignment="1">
      <alignment horizontal="center" vertical="center" wrapText="1"/>
    </xf>
    <xf numFmtId="44" fontId="2" fillId="4" borderId="8" xfId="0" applyNumberFormat="1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right" vertical="center"/>
    </xf>
    <xf numFmtId="44" fontId="0" fillId="0" borderId="8" xfId="1" applyFont="1" applyBorder="1" applyAlignment="1">
      <alignment horizontal="right" vertical="center"/>
    </xf>
    <xf numFmtId="44" fontId="0" fillId="3" borderId="0" xfId="1" applyFont="1" applyFill="1" applyBorder="1" applyAlignment="1">
      <alignment horizontal="center" vertical="center"/>
    </xf>
    <xf numFmtId="44" fontId="0" fillId="3" borderId="8" xfId="1" applyFont="1" applyFill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44" fontId="0" fillId="0" borderId="0" xfId="1" applyFont="1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44" fontId="2" fillId="5" borderId="2" xfId="0" applyNumberFormat="1" applyFont="1" applyFill="1" applyBorder="1" applyAlignment="1">
      <alignment horizontal="center" vertical="center" wrapText="1"/>
    </xf>
    <xf numFmtId="44" fontId="2" fillId="5" borderId="9" xfId="0" applyNumberFormat="1" applyFont="1" applyFill="1" applyBorder="1" applyAlignment="1">
      <alignment horizontal="center" vertical="center" wrapText="1"/>
    </xf>
    <xf numFmtId="44" fontId="2" fillId="4" borderId="0" xfId="1" applyFont="1" applyFill="1" applyBorder="1" applyAlignment="1">
      <alignment horizontal="center" vertical="center" wrapText="1"/>
    </xf>
    <xf numFmtId="44" fontId="2" fillId="4" borderId="8" xfId="1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vertical="center"/>
    </xf>
    <xf numFmtId="0" fontId="3" fillId="8" borderId="11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/>
    </xf>
    <xf numFmtId="10" fontId="2" fillId="5" borderId="0" xfId="1" applyNumberFormat="1" applyFont="1" applyFill="1" applyBorder="1" applyAlignment="1">
      <alignment horizontal="center" vertical="center"/>
    </xf>
    <xf numFmtId="44" fontId="2" fillId="5" borderId="8" xfId="0" applyNumberFormat="1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164" fontId="1" fillId="0" borderId="1" xfId="2" applyNumberFormat="1" applyFont="1" applyFill="1" applyBorder="1" applyAlignment="1">
      <alignment horizontal="center" vertical="center"/>
    </xf>
    <xf numFmtId="164" fontId="1" fillId="0" borderId="2" xfId="2" applyNumberFormat="1" applyFont="1" applyFill="1" applyBorder="1" applyAlignment="1">
      <alignment horizontal="center" vertical="center"/>
    </xf>
    <xf numFmtId="164" fontId="1" fillId="0" borderId="9" xfId="2" applyNumberFormat="1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vertical="center" wrapText="1"/>
    </xf>
    <xf numFmtId="0" fontId="3" fillId="8" borderId="11" xfId="0" applyFont="1" applyFill="1" applyBorder="1" applyAlignment="1">
      <alignment vertical="center" wrapText="1"/>
    </xf>
    <xf numFmtId="0" fontId="3" fillId="8" borderId="12" xfId="0" applyFont="1" applyFill="1" applyBorder="1" applyAlignment="1">
      <alignment vertical="center" wrapText="1"/>
    </xf>
    <xf numFmtId="0" fontId="4" fillId="5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percentStacked"/>
        <c:ser>
          <c:idx val="0"/>
          <c:order val="0"/>
          <c:tx>
            <c:strRef>
              <c:f>'Prévision de vente'!$B$23</c:f>
              <c:strCache>
                <c:ptCount val="1"/>
                <c:pt idx="0">
                  <c:v>- WMUSIC</c:v>
                </c:pt>
              </c:strCache>
            </c:strRef>
          </c:tx>
          <c:val>
            <c:numRef>
              <c:f>'Prévision de vente'!$C$23:$AL$23</c:f>
              <c:numCache>
                <c:formatCode>0.00%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4.4206836723025911E-3</c:v>
                </c:pt>
                <c:pt idx="4">
                  <c:v>4.885611032640679E-3</c:v>
                </c:pt>
                <c:pt idx="5">
                  <c:v>5.399435230304013E-3</c:v>
                </c:pt>
                <c:pt idx="6">
                  <c:v>5.9672987905650815E-3</c:v>
                </c:pt>
                <c:pt idx="7">
                  <c:v>6.594885082800513E-3</c:v>
                </c:pt>
                <c:pt idx="8">
                  <c:v>7.2884752015620353E-3</c:v>
                </c:pt>
                <c:pt idx="9">
                  <c:v>8.0550108298819059E-3</c:v>
                </c:pt>
                <c:pt idx="10">
                  <c:v>8.9021637139698722E-3</c:v>
                </c:pt>
                <c:pt idx="11">
                  <c:v>9.8384124446277994E-3</c:v>
                </c:pt>
                <c:pt idx="12">
                  <c:v>1.0873127313836181E-2</c:v>
                </c:pt>
                <c:pt idx="13">
                  <c:v>1.2016664095785733E-2</c:v>
                </c:pt>
                <c:pt idx="14">
                  <c:v>1.328046769094619E-2</c:v>
                </c:pt>
                <c:pt idx="15">
                  <c:v>1.4677186670476978E-2</c:v>
                </c:pt>
                <c:pt idx="16">
                  <c:v>1.6220799867378698E-2</c:v>
                </c:pt>
                <c:pt idx="17">
                  <c:v>1.7926756281352259E-2</c:v>
                </c:pt>
                <c:pt idx="18">
                  <c:v>1.981212969758046E-2</c:v>
                </c:pt>
                <c:pt idx="19">
                  <c:v>2.18957895669088E-2</c:v>
                </c:pt>
                <c:pt idx="20">
                  <c:v>2.4198589857651786E-2</c:v>
                </c:pt>
                <c:pt idx="21">
                  <c:v>2.6743577769117073E-2</c:v>
                </c:pt>
                <c:pt idx="22">
                  <c:v>2.9556224395722603E-2</c:v>
                </c:pt>
                <c:pt idx="23">
                  <c:v>3.2664679650270603E-2</c:v>
                </c:pt>
                <c:pt idx="24">
                  <c:v>3.6100053997736491E-2</c:v>
                </c:pt>
                <c:pt idx="25">
                  <c:v>3.9896729819258875E-2</c:v>
                </c:pt>
                <c:pt idx="26">
                  <c:v>4.4092705522566403E-2</c:v>
                </c:pt>
                <c:pt idx="27">
                  <c:v>4.872997584281389E-2</c:v>
                </c:pt>
                <c:pt idx="28">
                  <c:v>5.3854952140006768E-2</c:v>
                </c:pt>
                <c:pt idx="29">
                  <c:v>5.9518926899491349E-2</c:v>
                </c:pt>
                <c:pt idx="30">
                  <c:v>6.577858708438819E-2</c:v>
                </c:pt>
                <c:pt idx="31">
                  <c:v>7.2696581477772235E-2</c:v>
                </c:pt>
                <c:pt idx="32">
                  <c:v>8.0342147692750665E-2</c:v>
                </c:pt>
                <c:pt idx="33">
                  <c:v>8.8791805125766537E-2</c:v>
                </c:pt>
                <c:pt idx="34">
                  <c:v>9.8130120788437414E-2</c:v>
                </c:pt>
                <c:pt idx="35">
                  <c:v>0.10845055568263152</c:v>
                </c:pt>
              </c:numCache>
            </c:numRef>
          </c:val>
        </c:ser>
        <c:ser>
          <c:idx val="1"/>
          <c:order val="1"/>
          <c:tx>
            <c:strRef>
              <c:f>'Prévision de vente'!$B$24</c:f>
              <c:strCache>
                <c:ptCount val="1"/>
                <c:pt idx="0">
                  <c:v>- SONOS</c:v>
                </c:pt>
              </c:strCache>
            </c:strRef>
          </c:tx>
          <c:val>
            <c:numRef>
              <c:f>'Prévision de vente'!$C$24:$AL$24</c:f>
              <c:numCache>
                <c:formatCode>0.00%</c:formatCode>
                <c:ptCount val="3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0.74778965816384868</c:v>
                </c:pt>
                <c:pt idx="4">
                  <c:v>0.74755719448367963</c:v>
                </c:pt>
                <c:pt idx="5">
                  <c:v>0.74730028238484802</c:v>
                </c:pt>
                <c:pt idx="6">
                  <c:v>0.74701635060471749</c:v>
                </c:pt>
                <c:pt idx="7">
                  <c:v>0.7467025574585997</c:v>
                </c:pt>
                <c:pt idx="8">
                  <c:v>0.74635576239921897</c:v>
                </c:pt>
                <c:pt idx="9">
                  <c:v>0.7459724945850591</c:v>
                </c:pt>
                <c:pt idx="10">
                  <c:v>0.74554891814301505</c:v>
                </c:pt>
                <c:pt idx="11">
                  <c:v>0.7450807937776861</c:v>
                </c:pt>
                <c:pt idx="12">
                  <c:v>0.74456343634308186</c:v>
                </c:pt>
                <c:pt idx="13">
                  <c:v>0.74399166795210714</c:v>
                </c:pt>
                <c:pt idx="14">
                  <c:v>0.74335976615452692</c:v>
                </c:pt>
                <c:pt idx="15">
                  <c:v>0.74266140666476155</c:v>
                </c:pt>
                <c:pt idx="16">
                  <c:v>0.74188960006631066</c:v>
                </c:pt>
                <c:pt idx="17">
                  <c:v>0.74103662185932384</c:v>
                </c:pt>
                <c:pt idx="18">
                  <c:v>0.7400939351512098</c:v>
                </c:pt>
                <c:pt idx="19">
                  <c:v>0.73905210521654563</c:v>
                </c:pt>
                <c:pt idx="20">
                  <c:v>0.73790070507117411</c:v>
                </c:pt>
                <c:pt idx="21">
                  <c:v>0.73662821111544141</c:v>
                </c:pt>
                <c:pt idx="22">
                  <c:v>0.73522188780213871</c:v>
                </c:pt>
                <c:pt idx="23">
                  <c:v>0.73366766017486473</c:v>
                </c:pt>
                <c:pt idx="24">
                  <c:v>0.73194997300113174</c:v>
                </c:pt>
                <c:pt idx="25">
                  <c:v>0.73005163509037052</c:v>
                </c:pt>
                <c:pt idx="26">
                  <c:v>0.72795364723871681</c:v>
                </c:pt>
                <c:pt idx="27">
                  <c:v>0.72563501207859304</c:v>
                </c:pt>
                <c:pt idx="28">
                  <c:v>0.72307252392999666</c:v>
                </c:pt>
                <c:pt idx="29">
                  <c:v>0.72024053655025433</c:v>
                </c:pt>
                <c:pt idx="30">
                  <c:v>0.71711070645780595</c:v>
                </c:pt>
                <c:pt idx="31">
                  <c:v>0.71365170926111388</c:v>
                </c:pt>
                <c:pt idx="32">
                  <c:v>0.7098289261536247</c:v>
                </c:pt>
                <c:pt idx="33">
                  <c:v>0.70560409743711672</c:v>
                </c:pt>
                <c:pt idx="34">
                  <c:v>0.70093493960578135</c:v>
                </c:pt>
                <c:pt idx="35">
                  <c:v>0.69577472215868419</c:v>
                </c:pt>
              </c:numCache>
            </c:numRef>
          </c:val>
        </c:ser>
        <c:ser>
          <c:idx val="2"/>
          <c:order val="2"/>
          <c:tx>
            <c:strRef>
              <c:f>'Prévision de vente'!$B$25</c:f>
              <c:strCache>
                <c:ptCount val="1"/>
                <c:pt idx="0">
                  <c:v>- AUTRES</c:v>
                </c:pt>
              </c:strCache>
            </c:strRef>
          </c:tx>
          <c:val>
            <c:numRef>
              <c:f>'Prévision de vente'!$C$25:$AL$25</c:f>
              <c:numCache>
                <c:formatCode>0.00%</c:formatCode>
                <c:ptCount val="3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0.24778965816384871</c:v>
                </c:pt>
                <c:pt idx="4">
                  <c:v>0.24755719448367966</c:v>
                </c:pt>
                <c:pt idx="5">
                  <c:v>0.247300282384848</c:v>
                </c:pt>
                <c:pt idx="6">
                  <c:v>0.24701635060471747</c:v>
                </c:pt>
                <c:pt idx="7">
                  <c:v>0.24670255745859973</c:v>
                </c:pt>
                <c:pt idx="8">
                  <c:v>0.24635576239921897</c:v>
                </c:pt>
                <c:pt idx="9">
                  <c:v>0.24597249458505904</c:v>
                </c:pt>
                <c:pt idx="10">
                  <c:v>0.24554891814301508</c:v>
                </c:pt>
                <c:pt idx="11">
                  <c:v>0.2450807937776861</c:v>
                </c:pt>
                <c:pt idx="12">
                  <c:v>0.24456343634308192</c:v>
                </c:pt>
                <c:pt idx="13">
                  <c:v>0.24399166795210714</c:v>
                </c:pt>
                <c:pt idx="14">
                  <c:v>0.2433597661545269</c:v>
                </c:pt>
                <c:pt idx="15">
                  <c:v>0.24266140666476152</c:v>
                </c:pt>
                <c:pt idx="16">
                  <c:v>0.24188960006631066</c:v>
                </c:pt>
                <c:pt idx="17">
                  <c:v>0.24103662185932387</c:v>
                </c:pt>
                <c:pt idx="18">
                  <c:v>0.24009393515120978</c:v>
                </c:pt>
                <c:pt idx="19">
                  <c:v>0.2390521052165456</c:v>
                </c:pt>
                <c:pt idx="20">
                  <c:v>0.23790070507117411</c:v>
                </c:pt>
                <c:pt idx="21">
                  <c:v>0.23662821111544147</c:v>
                </c:pt>
                <c:pt idx="22">
                  <c:v>0.23522188780213871</c:v>
                </c:pt>
                <c:pt idx="23">
                  <c:v>0.23366766017486471</c:v>
                </c:pt>
                <c:pt idx="24">
                  <c:v>0.23194997300113177</c:v>
                </c:pt>
                <c:pt idx="25">
                  <c:v>0.23005163509037058</c:v>
                </c:pt>
                <c:pt idx="26">
                  <c:v>0.22795364723871681</c:v>
                </c:pt>
                <c:pt idx="27">
                  <c:v>0.22563501207859304</c:v>
                </c:pt>
                <c:pt idx="28">
                  <c:v>0.2230725239299966</c:v>
                </c:pt>
                <c:pt idx="29">
                  <c:v>0.22024053655025433</c:v>
                </c:pt>
                <c:pt idx="30">
                  <c:v>0.21711070645780589</c:v>
                </c:pt>
                <c:pt idx="31">
                  <c:v>0.21365170926111388</c:v>
                </c:pt>
                <c:pt idx="32">
                  <c:v>0.20982892615362467</c:v>
                </c:pt>
                <c:pt idx="33">
                  <c:v>0.20560409743711672</c:v>
                </c:pt>
                <c:pt idx="34">
                  <c:v>0.20093493960578129</c:v>
                </c:pt>
                <c:pt idx="35">
                  <c:v>0.19577472215868424</c:v>
                </c:pt>
              </c:numCache>
            </c:numRef>
          </c:val>
        </c:ser>
        <c:axId val="193975808"/>
        <c:axId val="193977344"/>
      </c:areaChart>
      <c:catAx>
        <c:axId val="193975808"/>
        <c:scaling>
          <c:orientation val="minMax"/>
        </c:scaling>
        <c:axPos val="b"/>
        <c:tickLblPos val="nextTo"/>
        <c:crossAx val="193977344"/>
        <c:crosses val="autoZero"/>
        <c:auto val="1"/>
        <c:lblAlgn val="ctr"/>
        <c:lblOffset val="100"/>
      </c:catAx>
      <c:valAx>
        <c:axId val="193977344"/>
        <c:scaling>
          <c:orientation val="minMax"/>
        </c:scaling>
        <c:axPos val="l"/>
        <c:majorGridlines/>
        <c:numFmt formatCode="0%" sourceLinked="1"/>
        <c:tickLblPos val="nextTo"/>
        <c:crossAx val="193975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lineChart>
        <c:grouping val="standard"/>
        <c:ser>
          <c:idx val="0"/>
          <c:order val="0"/>
          <c:tx>
            <c:strRef>
              <c:f>'Profit &amp; Loss'!$B$5</c:f>
              <c:strCache>
                <c:ptCount val="1"/>
                <c:pt idx="0">
                  <c:v>SALES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Loss'!$C$5:$E$5</c:f>
              <c:numCache>
                <c:formatCode>_-* #,##0.00\ "€"_-;\-* #,##0.00\ "€"_-;_-* "-"??\ "€"_-;_-@_-</c:formatCode>
                <c:ptCount val="3"/>
                <c:pt idx="0">
                  <c:v>315670.85328951298</c:v>
                </c:pt>
                <c:pt idx="1">
                  <c:v>1530202.6995470091</c:v>
                </c:pt>
                <c:pt idx="2">
                  <c:v>6535282.281799403</c:v>
                </c:pt>
              </c:numCache>
            </c:numRef>
          </c:val>
        </c:ser>
        <c:ser>
          <c:idx val="2"/>
          <c:order val="1"/>
          <c:tx>
            <c:strRef>
              <c:f>'Profit &amp; Loss'!$B$13</c:f>
              <c:strCache>
                <c:ptCount val="1"/>
                <c:pt idx="0">
                  <c:v>OPERATING PROFIT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Loss'!$C$13:$E$13</c:f>
              <c:numCache>
                <c:formatCode>_-* #,##0.00\ "€"_-;\-* #,##0.00\ "€"_-;_-* "-"??\ "€"_-;_-@_-</c:formatCode>
                <c:ptCount val="3"/>
                <c:pt idx="0">
                  <c:v>98132.176369074703</c:v>
                </c:pt>
                <c:pt idx="1">
                  <c:v>873948.83328302426</c:v>
                </c:pt>
                <c:pt idx="2">
                  <c:v>4134335.2799382797</c:v>
                </c:pt>
              </c:numCache>
            </c:numRef>
          </c:val>
        </c:ser>
        <c:marker val="1"/>
        <c:axId val="209428480"/>
        <c:axId val="209430016"/>
      </c:lineChart>
      <c:catAx>
        <c:axId val="209428480"/>
        <c:scaling>
          <c:orientation val="minMax"/>
        </c:scaling>
        <c:axPos val="b"/>
        <c:numFmt formatCode="General" sourceLinked="1"/>
        <c:tickLblPos val="nextTo"/>
        <c:crossAx val="209430016"/>
        <c:crosses val="autoZero"/>
        <c:auto val="1"/>
        <c:lblAlgn val="ctr"/>
        <c:lblOffset val="100"/>
      </c:catAx>
      <c:valAx>
        <c:axId val="209430016"/>
        <c:scaling>
          <c:orientation val="minMax"/>
        </c:scaling>
        <c:axPos val="l"/>
        <c:majorGridlines/>
        <c:numFmt formatCode="_-* #,##0.00\ &quot;€&quot;_-;\-* #,##0.00\ &quot;€&quot;_-;_-* &quot;-&quot;??\ &quot;€&quot;_-;_-@_-" sourceLinked="1"/>
        <c:tickLblPos val="nextTo"/>
        <c:crossAx val="20942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0</xdr:row>
      <xdr:rowOff>133350</xdr:rowOff>
    </xdr:from>
    <xdr:to>
      <xdr:col>2</xdr:col>
      <xdr:colOff>609600</xdr:colOff>
      <xdr:row>0</xdr:row>
      <xdr:rowOff>1169193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6" y="133350"/>
          <a:ext cx="2486024" cy="1035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123825</xdr:rowOff>
    </xdr:from>
    <xdr:to>
      <xdr:col>2</xdr:col>
      <xdr:colOff>466724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123825"/>
          <a:ext cx="2486024" cy="10358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142875</xdr:rowOff>
    </xdr:from>
    <xdr:to>
      <xdr:col>3</xdr:col>
      <xdr:colOff>619124</xdr:colOff>
      <xdr:row>0</xdr:row>
      <xdr:rowOff>1178718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" y="142875"/>
          <a:ext cx="2486024" cy="10358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6</xdr:row>
      <xdr:rowOff>152400</xdr:rowOff>
    </xdr:from>
    <xdr:to>
      <xdr:col>2</xdr:col>
      <xdr:colOff>857249</xdr:colOff>
      <xdr:row>6</xdr:row>
      <xdr:rowOff>1188243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0975" y="152400"/>
          <a:ext cx="2486024" cy="1035843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25</xdr:row>
      <xdr:rowOff>142875</xdr:rowOff>
    </xdr:from>
    <xdr:to>
      <xdr:col>5</xdr:col>
      <xdr:colOff>409575</xdr:colOff>
      <xdr:row>40</xdr:row>
      <xdr:rowOff>28575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123825</xdr:rowOff>
    </xdr:from>
    <xdr:to>
      <xdr:col>3</xdr:col>
      <xdr:colOff>152399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0" y="123825"/>
          <a:ext cx="2486024" cy="1035843"/>
        </a:xfrm>
        <a:prstGeom prst="rect">
          <a:avLst/>
        </a:prstGeom>
      </xdr:spPr>
    </xdr:pic>
    <xdr:clientData/>
  </xdr:twoCellAnchor>
  <xdr:twoCellAnchor>
    <xdr:from>
      <xdr:col>5</xdr:col>
      <xdr:colOff>200025</xdr:colOff>
      <xdr:row>0</xdr:row>
      <xdr:rowOff>1133475</xdr:rowOff>
    </xdr:from>
    <xdr:to>
      <xdr:col>10</xdr:col>
      <xdr:colOff>238125</xdr:colOff>
      <xdr:row>14</xdr:row>
      <xdr:rowOff>66675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5"/>
  </sheetPr>
  <dimension ref="B1:H19"/>
  <sheetViews>
    <sheetView showGridLines="0" tabSelected="1" workbookViewId="0">
      <selection activeCell="C17" sqref="C17:E17"/>
    </sheetView>
  </sheetViews>
  <sheetFormatPr baseColWidth="10" defaultRowHeight="15"/>
  <cols>
    <col min="1" max="1" width="1.42578125" style="1" customWidth="1"/>
    <col min="2" max="2" width="28.5703125" style="1" bestFit="1" customWidth="1"/>
    <col min="3" max="5" width="11.42578125" style="1"/>
    <col min="6" max="6" width="7.140625" style="1" customWidth="1"/>
    <col min="7" max="7" width="25.5703125" style="1" bestFit="1" customWidth="1"/>
    <col min="8" max="8" width="11.85546875" style="1" bestFit="1" customWidth="1"/>
    <col min="9" max="9" width="7.140625" style="1" customWidth="1"/>
    <col min="10" max="10" width="18.140625" style="1" bestFit="1" customWidth="1"/>
    <col min="11" max="11" width="11.85546875" style="1" bestFit="1" customWidth="1"/>
    <col min="12" max="16384" width="11.42578125" style="1"/>
  </cols>
  <sheetData>
    <row r="1" spans="2:8" ht="105" customHeight="1"/>
    <row r="2" spans="2:8">
      <c r="B2" s="201" t="s">
        <v>66</v>
      </c>
      <c r="C2" s="205"/>
      <c r="D2" s="205"/>
      <c r="E2" s="202"/>
      <c r="G2" s="199" t="s">
        <v>79</v>
      </c>
      <c r="H2" s="200"/>
    </row>
    <row r="3" spans="2:8" ht="30">
      <c r="B3" s="81"/>
      <c r="C3" s="82" t="s">
        <v>46</v>
      </c>
      <c r="D3" s="61" t="s">
        <v>3</v>
      </c>
      <c r="E3" s="83" t="s">
        <v>59</v>
      </c>
      <c r="G3" s="81"/>
      <c r="H3" s="86" t="s">
        <v>80</v>
      </c>
    </row>
    <row r="4" spans="2:8">
      <c r="B4" s="74" t="s">
        <v>5</v>
      </c>
      <c r="C4" s="203">
        <f>E5</f>
        <v>124.57979999999999</v>
      </c>
      <c r="D4" s="203"/>
      <c r="E4" s="204"/>
      <c r="G4" s="84" t="s">
        <v>88</v>
      </c>
      <c r="H4" s="49">
        <f>E19</f>
        <v>2267.4233866666664</v>
      </c>
    </row>
    <row r="5" spans="2:8">
      <c r="B5" s="75" t="s">
        <v>75</v>
      </c>
      <c r="C5" s="27">
        <f>Dépense!J11</f>
        <v>62.289899999999996</v>
      </c>
      <c r="D5" s="71">
        <v>2</v>
      </c>
      <c r="E5" s="49">
        <f>C5*D5</f>
        <v>124.57979999999999</v>
      </c>
      <c r="G5" s="85" t="s">
        <v>89</v>
      </c>
      <c r="H5" s="50">
        <f>Dépense!C19</f>
        <v>7200</v>
      </c>
    </row>
    <row r="6" spans="2:8">
      <c r="B6" s="76"/>
      <c r="C6" s="70"/>
      <c r="D6" s="70"/>
      <c r="E6" s="77"/>
      <c r="G6" s="87" t="s">
        <v>59</v>
      </c>
      <c r="H6" s="88">
        <f>SUM(H4:H5)</f>
        <v>9467.4233866666655</v>
      </c>
    </row>
    <row r="7" spans="2:8">
      <c r="B7" s="74" t="s">
        <v>6</v>
      </c>
      <c r="C7" s="203">
        <f>E8</f>
        <v>119.17692000000001</v>
      </c>
      <c r="D7" s="203"/>
      <c r="E7" s="204"/>
    </row>
    <row r="8" spans="2:8">
      <c r="B8" s="75" t="s">
        <v>76</v>
      </c>
      <c r="C8" s="28">
        <f>Dépense!K11</f>
        <v>59.588460000000005</v>
      </c>
      <c r="D8" s="71">
        <v>2</v>
      </c>
      <c r="E8" s="49">
        <f>C8*D8</f>
        <v>119.17692000000001</v>
      </c>
    </row>
    <row r="9" spans="2:8">
      <c r="B9" s="76"/>
      <c r="C9" s="70"/>
      <c r="D9" s="70"/>
      <c r="E9" s="77"/>
      <c r="G9" s="201" t="s">
        <v>81</v>
      </c>
      <c r="H9" s="202"/>
    </row>
    <row r="10" spans="2:8">
      <c r="B10" s="78" t="s">
        <v>74</v>
      </c>
      <c r="C10" s="203">
        <f>SUM(E11:E15)</f>
        <v>2015</v>
      </c>
      <c r="D10" s="203"/>
      <c r="E10" s="204"/>
      <c r="G10" s="91" t="s">
        <v>82</v>
      </c>
      <c r="H10" s="49">
        <f>H6</f>
        <v>9467.4233866666655</v>
      </c>
    </row>
    <row r="11" spans="2:8">
      <c r="B11" s="79" t="s">
        <v>67</v>
      </c>
      <c r="C11" s="29">
        <v>680</v>
      </c>
      <c r="D11" s="71">
        <v>1</v>
      </c>
      <c r="E11" s="49">
        <f>C11*D11</f>
        <v>680</v>
      </c>
      <c r="G11" s="90" t="s">
        <v>83</v>
      </c>
      <c r="H11" s="95">
        <v>60</v>
      </c>
    </row>
    <row r="12" spans="2:8">
      <c r="B12" s="80" t="s">
        <v>70</v>
      </c>
      <c r="C12" s="72">
        <v>200</v>
      </c>
      <c r="D12" s="94">
        <v>1</v>
      </c>
      <c r="E12" s="50">
        <f>C12*D12</f>
        <v>200</v>
      </c>
      <c r="G12" s="91" t="s">
        <v>84</v>
      </c>
      <c r="H12" s="96">
        <v>2.5000000000000001E-2</v>
      </c>
    </row>
    <row r="13" spans="2:8">
      <c r="B13" s="79" t="s">
        <v>69</v>
      </c>
      <c r="C13" s="29">
        <v>200</v>
      </c>
      <c r="D13" s="71">
        <v>1</v>
      </c>
      <c r="E13" s="49">
        <f>C13*D13</f>
        <v>200</v>
      </c>
      <c r="G13" s="92" t="s">
        <v>85</v>
      </c>
      <c r="H13" s="88">
        <f>(H10+H10*H12)/H11</f>
        <v>161.7351495222222</v>
      </c>
    </row>
    <row r="14" spans="2:8">
      <c r="B14" s="80" t="s">
        <v>68</v>
      </c>
      <c r="C14" s="72">
        <v>400</v>
      </c>
      <c r="D14" s="94">
        <v>1</v>
      </c>
      <c r="E14" s="50">
        <f>C14*D14</f>
        <v>400</v>
      </c>
    </row>
    <row r="15" spans="2:8">
      <c r="B15" s="79" t="s">
        <v>71</v>
      </c>
      <c r="C15" s="30">
        <v>535</v>
      </c>
      <c r="D15" s="93">
        <v>1</v>
      </c>
      <c r="E15" s="49">
        <f>C15*D15</f>
        <v>535</v>
      </c>
    </row>
    <row r="16" spans="2:8">
      <c r="B16" s="76"/>
      <c r="C16" s="70"/>
      <c r="D16" s="70"/>
      <c r="E16" s="77"/>
    </row>
    <row r="17" spans="2:5">
      <c r="B17" s="78" t="s">
        <v>78</v>
      </c>
      <c r="C17" s="203">
        <v>0</v>
      </c>
      <c r="D17" s="203"/>
      <c r="E17" s="204"/>
    </row>
    <row r="18" spans="2:5">
      <c r="B18" s="76"/>
      <c r="C18" s="70"/>
      <c r="D18" s="70"/>
      <c r="E18" s="77"/>
    </row>
    <row r="19" spans="2:5">
      <c r="B19" s="197" t="s">
        <v>59</v>
      </c>
      <c r="C19" s="198"/>
      <c r="D19" s="198"/>
      <c r="E19" s="89">
        <f>C4+C7+C10+Dépense!C11+C17</f>
        <v>2267.4233866666664</v>
      </c>
    </row>
  </sheetData>
  <mergeCells count="8">
    <mergeCell ref="B19:D19"/>
    <mergeCell ref="G2:H2"/>
    <mergeCell ref="G9:H9"/>
    <mergeCell ref="C7:E7"/>
    <mergeCell ref="C4:E4"/>
    <mergeCell ref="C10:E10"/>
    <mergeCell ref="C17:E17"/>
    <mergeCell ref="B2:E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tabColor theme="5"/>
  </sheetPr>
  <dimension ref="B1:P31"/>
  <sheetViews>
    <sheetView showGridLines="0" topLeftCell="A2" workbookViewId="0">
      <selection activeCell="H10" sqref="H10:I10"/>
    </sheetView>
  </sheetViews>
  <sheetFormatPr baseColWidth="10" defaultRowHeight="15"/>
  <cols>
    <col min="1" max="1" width="1.5703125" style="1" customWidth="1"/>
    <col min="2" max="2" width="31.140625" style="3" bestFit="1" customWidth="1"/>
    <col min="3" max="3" width="9" style="3" bestFit="1" customWidth="1"/>
    <col min="4" max="4" width="3.28515625" style="18" bestFit="1" customWidth="1"/>
    <col min="5" max="5" width="8.28515625" style="1" bestFit="1" customWidth="1"/>
    <col min="6" max="6" width="10.85546875" style="1" bestFit="1" customWidth="1"/>
    <col min="7" max="7" width="7.140625" style="1" customWidth="1"/>
    <col min="8" max="8" width="18" style="1" bestFit="1" customWidth="1"/>
    <col min="9" max="9" width="12.140625" style="1" bestFit="1" customWidth="1"/>
    <col min="10" max="10" width="16.42578125" style="1" bestFit="1" customWidth="1"/>
    <col min="11" max="11" width="15.85546875" style="1" bestFit="1" customWidth="1"/>
    <col min="12" max="12" width="3.7109375" style="1" customWidth="1"/>
    <col min="13" max="13" width="28.5703125" style="24" bestFit="1" customWidth="1"/>
    <col min="14" max="14" width="16.140625" style="20" bestFit="1" customWidth="1"/>
    <col min="15" max="15" width="10.28515625" style="1" customWidth="1"/>
    <col min="16" max="16" width="10.85546875" style="1" bestFit="1" customWidth="1"/>
    <col min="17" max="19" width="10.28515625" style="1" customWidth="1"/>
    <col min="20" max="20" width="3.5703125" style="1" bestFit="1" customWidth="1"/>
    <col min="21" max="21" width="10.28515625" style="1" bestFit="1" customWidth="1"/>
    <col min="22" max="22" width="3.5703125" style="1" bestFit="1" customWidth="1"/>
    <col min="23" max="23" width="10.28515625" style="1" bestFit="1" customWidth="1"/>
    <col min="24" max="24" width="3.5703125" style="1" bestFit="1" customWidth="1"/>
    <col min="25" max="25" width="10.28515625" style="1" bestFit="1" customWidth="1"/>
    <col min="26" max="26" width="3.5703125" style="1" bestFit="1" customWidth="1"/>
    <col min="27" max="27" width="10.28515625" style="1" bestFit="1" customWidth="1"/>
    <col min="28" max="28" width="3.5703125" style="1" bestFit="1" customWidth="1"/>
    <col min="29" max="29" width="10.28515625" style="1" bestFit="1" customWidth="1"/>
    <col min="30" max="30" width="3.5703125" style="1" bestFit="1" customWidth="1"/>
    <col min="31" max="31" width="10.28515625" style="1" bestFit="1" customWidth="1"/>
    <col min="32" max="32" width="3.5703125" style="1" bestFit="1" customWidth="1"/>
    <col min="33" max="33" width="10.28515625" style="1" bestFit="1" customWidth="1"/>
    <col min="34" max="34" width="3.5703125" style="1" bestFit="1" customWidth="1"/>
    <col min="35" max="35" width="10.28515625" style="1" bestFit="1" customWidth="1"/>
    <col min="36" max="36" width="3.5703125" style="1" bestFit="1" customWidth="1"/>
    <col min="37" max="37" width="10.28515625" style="1" bestFit="1" customWidth="1"/>
    <col min="38" max="38" width="3.5703125" style="1" bestFit="1" customWidth="1"/>
    <col min="39" max="39" width="10.28515625" style="1" bestFit="1" customWidth="1"/>
    <col min="40" max="40" width="3.5703125" style="1" bestFit="1" customWidth="1"/>
    <col min="41" max="41" width="10.28515625" style="1" bestFit="1" customWidth="1"/>
    <col min="42" max="42" width="3.5703125" style="1" bestFit="1" customWidth="1"/>
    <col min="43" max="43" width="10.28515625" style="1" bestFit="1" customWidth="1"/>
    <col min="44" max="44" width="3.5703125" style="1" bestFit="1" customWidth="1"/>
    <col min="45" max="45" width="10.28515625" style="1" bestFit="1" customWidth="1"/>
    <col min="46" max="46" width="3.5703125" style="1" bestFit="1" customWidth="1"/>
    <col min="47" max="47" width="10.28515625" style="1" bestFit="1" customWidth="1"/>
    <col min="48" max="48" width="3.5703125" style="1" bestFit="1" customWidth="1"/>
    <col min="49" max="49" width="10.28515625" style="1" bestFit="1" customWidth="1"/>
    <col min="50" max="50" width="3.5703125" style="1" bestFit="1" customWidth="1"/>
    <col min="51" max="51" width="10.28515625" style="1" bestFit="1" customWidth="1"/>
    <col min="52" max="52" width="3.5703125" style="1" bestFit="1" customWidth="1"/>
    <col min="53" max="53" width="10.28515625" style="1" bestFit="1" customWidth="1"/>
    <col min="54" max="54" width="3.5703125" style="1" bestFit="1" customWidth="1"/>
    <col min="55" max="55" width="10.28515625" style="1" bestFit="1" customWidth="1"/>
    <col min="56" max="56" width="3.5703125" style="1" bestFit="1" customWidth="1"/>
    <col min="57" max="57" width="10.28515625" style="1" bestFit="1" customWidth="1"/>
    <col min="58" max="58" width="3.5703125" style="1" bestFit="1" customWidth="1"/>
    <col min="59" max="59" width="10.28515625" style="1" bestFit="1" customWidth="1"/>
    <col min="60" max="60" width="3.5703125" style="1" bestFit="1" customWidth="1"/>
    <col min="61" max="61" width="10.28515625" style="1" bestFit="1" customWidth="1"/>
    <col min="62" max="62" width="3.5703125" style="1" bestFit="1" customWidth="1"/>
    <col min="63" max="63" width="10.28515625" style="1" bestFit="1" customWidth="1"/>
    <col min="64" max="64" width="3.5703125" style="1" bestFit="1" customWidth="1"/>
    <col min="65" max="65" width="10.28515625" style="1" bestFit="1" customWidth="1"/>
    <col min="66" max="66" width="3.5703125" style="1" bestFit="1" customWidth="1"/>
    <col min="67" max="67" width="10.28515625" style="1" bestFit="1" customWidth="1"/>
    <col min="68" max="68" width="3.5703125" style="1" bestFit="1" customWidth="1"/>
    <col min="69" max="69" width="10.28515625" style="1" bestFit="1" customWidth="1"/>
    <col min="70" max="70" width="3.5703125" style="1" bestFit="1" customWidth="1"/>
    <col min="71" max="71" width="10.28515625" style="1" bestFit="1" customWidth="1"/>
    <col min="72" max="72" width="3.5703125" style="1" bestFit="1" customWidth="1"/>
    <col min="73" max="73" width="10.28515625" style="1" bestFit="1" customWidth="1"/>
    <col min="74" max="74" width="3.5703125" style="1" bestFit="1" customWidth="1"/>
    <col min="75" max="75" width="10.28515625" style="1" bestFit="1" customWidth="1"/>
    <col min="76" max="16384" width="11.42578125" style="1"/>
  </cols>
  <sheetData>
    <row r="1" spans="2:12" ht="105" customHeight="1"/>
    <row r="2" spans="2:12">
      <c r="B2" s="208" t="s">
        <v>105</v>
      </c>
      <c r="C2" s="209"/>
      <c r="D2" s="209"/>
      <c r="E2" s="209"/>
      <c r="F2" s="210"/>
      <c r="H2" s="199" t="s">
        <v>106</v>
      </c>
      <c r="I2" s="211"/>
      <c r="J2" s="211"/>
      <c r="K2" s="200"/>
      <c r="L2" s="12"/>
    </row>
    <row r="3" spans="2:12" ht="30">
      <c r="B3" s="59"/>
      <c r="C3" s="135" t="s">
        <v>3</v>
      </c>
      <c r="D3" s="42" t="s">
        <v>0</v>
      </c>
      <c r="E3" s="43" t="s">
        <v>2</v>
      </c>
      <c r="F3" s="56" t="s">
        <v>1</v>
      </c>
      <c r="H3" s="60" t="s">
        <v>47</v>
      </c>
      <c r="I3" s="61" t="s">
        <v>107</v>
      </c>
      <c r="J3" s="189" t="s">
        <v>108</v>
      </c>
      <c r="K3" s="83" t="s">
        <v>109</v>
      </c>
      <c r="L3" s="19"/>
    </row>
    <row r="4" spans="2:12">
      <c r="B4" s="191" t="s">
        <v>86</v>
      </c>
      <c r="C4" s="218">
        <f>SUM(C5:F9)</f>
        <v>620</v>
      </c>
      <c r="D4" s="219"/>
      <c r="E4" s="219"/>
      <c r="F4" s="220"/>
      <c r="H4" s="195" t="s">
        <v>100</v>
      </c>
      <c r="I4" s="136">
        <v>29.03</v>
      </c>
      <c r="J4" s="13">
        <v>1</v>
      </c>
      <c r="K4" s="58">
        <v>1</v>
      </c>
      <c r="L4" s="9"/>
    </row>
    <row r="5" spans="2:12">
      <c r="B5" s="195" t="s">
        <v>90</v>
      </c>
      <c r="C5" s="229">
        <v>500</v>
      </c>
      <c r="D5" s="229"/>
      <c r="E5" s="229"/>
      <c r="F5" s="230"/>
      <c r="H5" s="45" t="s">
        <v>101</v>
      </c>
      <c r="I5" s="137">
        <v>4.41</v>
      </c>
      <c r="J5" s="64">
        <v>1</v>
      </c>
      <c r="K5" s="65">
        <v>1</v>
      </c>
      <c r="L5" s="8"/>
    </row>
    <row r="6" spans="2:12">
      <c r="B6" s="45" t="s">
        <v>91</v>
      </c>
      <c r="C6" s="231">
        <v>30</v>
      </c>
      <c r="D6" s="231"/>
      <c r="E6" s="231"/>
      <c r="F6" s="232"/>
      <c r="H6" s="195" t="s">
        <v>102</v>
      </c>
      <c r="I6" s="136">
        <v>2.2400000000000002</v>
      </c>
      <c r="J6" s="13">
        <v>1</v>
      </c>
      <c r="K6" s="58">
        <v>0</v>
      </c>
      <c r="L6" s="8"/>
    </row>
    <row r="7" spans="2:12">
      <c r="B7" s="195" t="s">
        <v>92</v>
      </c>
      <c r="C7" s="233">
        <v>10</v>
      </c>
      <c r="D7" s="233"/>
      <c r="E7" s="233"/>
      <c r="F7" s="234"/>
      <c r="H7" s="45" t="s">
        <v>103</v>
      </c>
      <c r="I7" s="137">
        <v>4.4800000000000004</v>
      </c>
      <c r="J7" s="64">
        <v>1</v>
      </c>
      <c r="K7" s="65">
        <v>1</v>
      </c>
      <c r="L7" s="8"/>
    </row>
    <row r="8" spans="2:12">
      <c r="B8" s="45" t="s">
        <v>93</v>
      </c>
      <c r="C8" s="231">
        <v>70</v>
      </c>
      <c r="D8" s="231"/>
      <c r="E8" s="231"/>
      <c r="F8" s="232"/>
      <c r="H8" s="195" t="s">
        <v>104</v>
      </c>
      <c r="I8" s="136">
        <v>11.49</v>
      </c>
      <c r="J8" s="13">
        <v>1</v>
      </c>
      <c r="K8" s="58">
        <v>1</v>
      </c>
      <c r="L8" s="8"/>
    </row>
    <row r="9" spans="2:12" s="21" customFormat="1">
      <c r="B9" s="195" t="s">
        <v>94</v>
      </c>
      <c r="C9" s="233">
        <v>10</v>
      </c>
      <c r="D9" s="233"/>
      <c r="E9" s="233"/>
      <c r="F9" s="234"/>
      <c r="H9" s="212" t="s">
        <v>7</v>
      </c>
      <c r="I9" s="213"/>
      <c r="J9" s="66">
        <f>SUMPRODUCT(I4:I8,J4:J8)</f>
        <v>51.65</v>
      </c>
      <c r="K9" s="67">
        <f>SUMPRODUCT(I4:I8,K4:K8)</f>
        <v>49.410000000000004</v>
      </c>
      <c r="L9" s="8"/>
    </row>
    <row r="10" spans="2:12">
      <c r="B10" s="76"/>
      <c r="C10" s="70"/>
      <c r="D10" s="70"/>
      <c r="E10" s="70"/>
      <c r="F10" s="77"/>
      <c r="H10" s="214" t="s">
        <v>110</v>
      </c>
      <c r="I10" s="215"/>
      <c r="J10" s="62">
        <v>0.20599999999999999</v>
      </c>
      <c r="K10" s="63">
        <v>0.20599999999999999</v>
      </c>
      <c r="L10" s="10"/>
    </row>
    <row r="11" spans="2:12">
      <c r="B11" s="78" t="s">
        <v>77</v>
      </c>
      <c r="C11" s="206">
        <f>SUM(F12:F13)</f>
        <v>8.6666666666666661</v>
      </c>
      <c r="D11" s="206"/>
      <c r="E11" s="206"/>
      <c r="F11" s="207"/>
      <c r="H11" s="216" t="s">
        <v>45</v>
      </c>
      <c r="I11" s="217"/>
      <c r="J11" s="68">
        <f>J9*J10+J9</f>
        <v>62.289899999999996</v>
      </c>
      <c r="K11" s="69">
        <f>K9*K10+K9</f>
        <v>59.588460000000005</v>
      </c>
      <c r="L11" s="11"/>
    </row>
    <row r="12" spans="2:12">
      <c r="B12" s="79" t="s">
        <v>129</v>
      </c>
      <c r="C12" s="8"/>
      <c r="D12" s="71"/>
      <c r="E12" s="19"/>
      <c r="F12" s="192">
        <f>8.36/12</f>
        <v>0.69666666666666666</v>
      </c>
      <c r="L12" s="10"/>
    </row>
    <row r="13" spans="2:12">
      <c r="B13" s="80" t="s">
        <v>130</v>
      </c>
      <c r="C13" s="193"/>
      <c r="D13" s="94"/>
      <c r="E13" s="94"/>
      <c r="F13" s="194">
        <v>7.97</v>
      </c>
    </row>
    <row r="14" spans="2:12" s="21" customFormat="1">
      <c r="B14" s="53"/>
      <c r="C14" s="35"/>
      <c r="D14" s="35"/>
      <c r="E14" s="35"/>
      <c r="F14" s="46"/>
    </row>
    <row r="15" spans="2:12" s="21" customFormat="1">
      <c r="B15" s="188" t="s">
        <v>73</v>
      </c>
      <c r="C15" s="225">
        <f>SUM(C16:F17)</f>
        <v>14.99</v>
      </c>
      <c r="D15" s="225"/>
      <c r="E15" s="225"/>
      <c r="F15" s="226"/>
    </row>
    <row r="16" spans="2:12" s="23" customFormat="1">
      <c r="B16" s="195" t="s">
        <v>95</v>
      </c>
      <c r="C16" s="221">
        <v>9.99</v>
      </c>
      <c r="D16" s="221"/>
      <c r="E16" s="221"/>
      <c r="F16" s="222"/>
    </row>
    <row r="17" spans="2:16" s="23" customFormat="1">
      <c r="B17" s="45" t="s">
        <v>96</v>
      </c>
      <c r="C17" s="223">
        <v>5</v>
      </c>
      <c r="D17" s="223"/>
      <c r="E17" s="223"/>
      <c r="F17" s="224"/>
    </row>
    <row r="18" spans="2:16" s="21" customFormat="1">
      <c r="B18" s="47"/>
      <c r="C18" s="44"/>
      <c r="D18" s="36"/>
      <c r="E18" s="36"/>
      <c r="F18" s="48"/>
    </row>
    <row r="19" spans="2:16">
      <c r="B19" s="188" t="s">
        <v>72</v>
      </c>
      <c r="C19" s="227">
        <f>SUM(F20:F22)</f>
        <v>7200</v>
      </c>
      <c r="D19" s="227"/>
      <c r="E19" s="227"/>
      <c r="F19" s="228"/>
      <c r="M19" s="15"/>
      <c r="N19" s="31"/>
    </row>
    <row r="20" spans="2:16">
      <c r="B20" s="195" t="s">
        <v>97</v>
      </c>
      <c r="C20" s="233">
        <v>1600</v>
      </c>
      <c r="D20" s="233"/>
      <c r="E20" s="22">
        <v>0.5</v>
      </c>
      <c r="F20" s="49">
        <f>C20*E20+C20</f>
        <v>2400</v>
      </c>
      <c r="M20" s="15"/>
      <c r="N20" s="31"/>
    </row>
    <row r="21" spans="2:16" s="21" customFormat="1">
      <c r="B21" s="45" t="s">
        <v>98</v>
      </c>
      <c r="C21" s="231">
        <v>1600</v>
      </c>
      <c r="D21" s="231"/>
      <c r="E21" s="38">
        <v>0.5</v>
      </c>
      <c r="F21" s="50">
        <f>C21*E21+C21</f>
        <v>2400</v>
      </c>
      <c r="M21" s="15"/>
      <c r="N21" s="31"/>
      <c r="O21" s="19"/>
      <c r="P21" s="1"/>
    </row>
    <row r="22" spans="2:16">
      <c r="B22" s="195" t="s">
        <v>99</v>
      </c>
      <c r="C22" s="233">
        <v>1600</v>
      </c>
      <c r="D22" s="233"/>
      <c r="E22" s="22">
        <v>0.5</v>
      </c>
      <c r="F22" s="49">
        <f>C22*E22+C22</f>
        <v>2400</v>
      </c>
      <c r="P22" s="21"/>
    </row>
    <row r="23" spans="2:16">
      <c r="B23" s="47"/>
      <c r="C23" s="44"/>
      <c r="D23" s="36"/>
      <c r="E23" s="37"/>
      <c r="F23" s="51"/>
      <c r="M23" s="25"/>
      <c r="N23" s="32"/>
      <c r="O23" s="21"/>
      <c r="P23" s="21"/>
    </row>
    <row r="24" spans="2:16">
      <c r="B24" s="188" t="s">
        <v>87</v>
      </c>
      <c r="C24" s="239">
        <f>SUM(C25)</f>
        <v>100</v>
      </c>
      <c r="D24" s="239"/>
      <c r="E24" s="239"/>
      <c r="F24" s="240"/>
      <c r="M24" s="25"/>
      <c r="N24" s="32"/>
      <c r="O24" s="21"/>
      <c r="P24" s="21"/>
    </row>
    <row r="25" spans="2:16">
      <c r="B25" s="196" t="s">
        <v>94</v>
      </c>
      <c r="C25" s="235">
        <v>100</v>
      </c>
      <c r="D25" s="235"/>
      <c r="E25" s="235"/>
      <c r="F25" s="236"/>
      <c r="M25" s="25"/>
      <c r="N25" s="32"/>
      <c r="O25" s="21"/>
      <c r="P25" s="21"/>
    </row>
    <row r="26" spans="2:16">
      <c r="B26" s="190"/>
      <c r="C26" s="39"/>
      <c r="D26" s="39"/>
      <c r="E26" s="39"/>
      <c r="F26" s="52"/>
      <c r="M26" s="25"/>
      <c r="N26" s="32"/>
      <c r="O26" s="21"/>
      <c r="P26" s="23"/>
    </row>
    <row r="27" spans="2:16">
      <c r="B27" s="188" t="s">
        <v>79</v>
      </c>
      <c r="C27" s="239">
        <f>SUM(C28)</f>
        <v>161.7351495222222</v>
      </c>
      <c r="D27" s="239"/>
      <c r="E27" s="239"/>
      <c r="F27" s="240"/>
      <c r="M27" s="26"/>
      <c r="N27" s="33"/>
      <c r="O27" s="23"/>
      <c r="P27" s="23"/>
    </row>
    <row r="28" spans="2:16">
      <c r="B28" s="195" t="s">
        <v>114</v>
      </c>
      <c r="C28" s="235">
        <f>Lancement!H13</f>
        <v>161.7351495222222</v>
      </c>
      <c r="D28" s="235"/>
      <c r="E28" s="235"/>
      <c r="F28" s="236"/>
      <c r="M28" s="26"/>
      <c r="N28" s="33"/>
      <c r="O28" s="23"/>
      <c r="P28" s="21"/>
    </row>
    <row r="29" spans="2:16">
      <c r="B29" s="53"/>
      <c r="C29" s="44"/>
      <c r="D29" s="40"/>
      <c r="E29" s="41"/>
      <c r="F29" s="54"/>
      <c r="M29" s="25"/>
      <c r="N29" s="32"/>
      <c r="O29" s="21"/>
    </row>
    <row r="30" spans="2:16">
      <c r="B30" s="55" t="s">
        <v>59</v>
      </c>
      <c r="C30" s="237">
        <f>C4+C11+C15+C19+C24</f>
        <v>7943.6566666666668</v>
      </c>
      <c r="D30" s="237"/>
      <c r="E30" s="237"/>
      <c r="F30" s="238"/>
      <c r="P30" s="21"/>
    </row>
    <row r="31" spans="2:16">
      <c r="M31" s="25"/>
      <c r="N31" s="32"/>
      <c r="O31" s="21"/>
    </row>
  </sheetData>
  <mergeCells count="24">
    <mergeCell ref="C25:F25"/>
    <mergeCell ref="C30:F30"/>
    <mergeCell ref="C27:F27"/>
    <mergeCell ref="C28:F28"/>
    <mergeCell ref="C20:D20"/>
    <mergeCell ref="C21:D21"/>
    <mergeCell ref="C22:D22"/>
    <mergeCell ref="C24:F24"/>
    <mergeCell ref="C16:F16"/>
    <mergeCell ref="C17:F17"/>
    <mergeCell ref="C15:F15"/>
    <mergeCell ref="C19:F19"/>
    <mergeCell ref="C5:F5"/>
    <mergeCell ref="C6:F6"/>
    <mergeCell ref="C7:F7"/>
    <mergeCell ref="C8:F8"/>
    <mergeCell ref="C9:F9"/>
    <mergeCell ref="C11:F11"/>
    <mergeCell ref="B2:F2"/>
    <mergeCell ref="H2:K2"/>
    <mergeCell ref="H9:I9"/>
    <mergeCell ref="H10:I10"/>
    <mergeCell ref="H11:I11"/>
    <mergeCell ref="C4:F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>
    <tabColor theme="6"/>
  </sheetPr>
  <dimension ref="A1:F8"/>
  <sheetViews>
    <sheetView showGridLines="0" workbookViewId="0">
      <selection activeCell="F4" sqref="F4"/>
    </sheetView>
  </sheetViews>
  <sheetFormatPr baseColWidth="10" defaultRowHeight="15"/>
  <cols>
    <col min="1" max="1" width="1.5703125" style="5" customWidth="1"/>
    <col min="2" max="2" width="14.42578125" bestFit="1" customWidth="1"/>
    <col min="3" max="3" width="14.28515625" customWidth="1"/>
    <col min="4" max="4" width="14.28515625" style="16" customWidth="1"/>
    <col min="5" max="5" width="14.28515625" style="2" customWidth="1"/>
  </cols>
  <sheetData>
    <row r="1" spans="1:6" ht="105" customHeight="1">
      <c r="B1" s="2"/>
    </row>
    <row r="2" spans="1:6" s="4" customFormat="1">
      <c r="A2" s="6"/>
      <c r="B2" s="241" t="s">
        <v>48</v>
      </c>
      <c r="C2" s="242"/>
      <c r="D2" s="242"/>
      <c r="E2" s="243"/>
    </row>
    <row r="3" spans="1:6" ht="30">
      <c r="B3" s="57" t="s">
        <v>47</v>
      </c>
      <c r="C3" s="73" t="s">
        <v>46</v>
      </c>
      <c r="D3" s="244" t="s">
        <v>8</v>
      </c>
      <c r="E3" s="245" t="s">
        <v>51</v>
      </c>
      <c r="F3" s="14"/>
    </row>
    <row r="4" spans="1:6" s="7" customFormat="1">
      <c r="A4" s="17"/>
      <c r="B4" s="121" t="s">
        <v>49</v>
      </c>
      <c r="C4" s="122">
        <f>Dépense!J11</f>
        <v>62.289899999999996</v>
      </c>
      <c r="D4" s="244"/>
      <c r="E4" s="245"/>
    </row>
    <row r="5" spans="1:6" s="7" customFormat="1">
      <c r="A5" s="17"/>
      <c r="B5" s="123" t="s">
        <v>50</v>
      </c>
      <c r="C5" s="124">
        <f>Dépense!K11</f>
        <v>59.588460000000005</v>
      </c>
      <c r="D5" s="244"/>
      <c r="E5" s="245"/>
    </row>
    <row r="6" spans="1:6" s="7" customFormat="1">
      <c r="A6" s="17"/>
      <c r="B6" s="125"/>
      <c r="C6" s="126"/>
      <c r="D6" s="244"/>
      <c r="E6" s="245"/>
    </row>
    <row r="7" spans="1:6" s="7" customFormat="1">
      <c r="A7" s="17"/>
      <c r="B7" s="127" t="s">
        <v>60</v>
      </c>
      <c r="C7" s="128">
        <f>C4+C5</f>
        <v>121.87836</v>
      </c>
      <c r="D7" s="129">
        <v>1.5</v>
      </c>
      <c r="E7" s="130">
        <f>C7+C7*D7</f>
        <v>304.69589999999999</v>
      </c>
    </row>
    <row r="8" spans="1:6" s="7" customFormat="1">
      <c r="A8" s="17"/>
      <c r="B8" s="131" t="s">
        <v>61</v>
      </c>
      <c r="C8" s="132">
        <f>C5</f>
        <v>59.588460000000005</v>
      </c>
      <c r="D8" s="133">
        <v>2.5</v>
      </c>
      <c r="E8" s="134">
        <f>C8+C8*D8</f>
        <v>208.55961000000002</v>
      </c>
    </row>
  </sheetData>
  <mergeCells count="3">
    <mergeCell ref="B2:E2"/>
    <mergeCell ref="D3:D6"/>
    <mergeCell ref="E3:E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6"/>
  </sheetPr>
  <dimension ref="A1:AL27"/>
  <sheetViews>
    <sheetView showGridLines="0" topLeftCell="A12" workbookViewId="0">
      <selection activeCell="G34" sqref="G34"/>
    </sheetView>
  </sheetViews>
  <sheetFormatPr baseColWidth="10" defaultColWidth="12.85546875" defaultRowHeight="15"/>
  <cols>
    <col min="1" max="1" width="1.42578125" style="115" customWidth="1"/>
    <col min="2" max="2" width="25.7109375" style="115" customWidth="1"/>
    <col min="3" max="3" width="12.85546875" style="115"/>
    <col min="4" max="5" width="12.85546875" style="116"/>
    <col min="6" max="7" width="12.85546875" style="115"/>
    <col min="8" max="9" width="12.85546875" style="117"/>
    <col min="10" max="10" width="12.85546875" style="114"/>
    <col min="11" max="11" width="12.85546875" style="118"/>
    <col min="12" max="12" width="12.85546875" style="114"/>
    <col min="13" max="13" width="12.85546875" style="118"/>
    <col min="14" max="15" width="12.85546875" style="115"/>
    <col min="16" max="16" width="12.85546875" style="119"/>
    <col min="17" max="16384" width="12.85546875" style="115"/>
  </cols>
  <sheetData>
    <row r="1" spans="1:38" s="93" customFormat="1" ht="15" hidden="1" customHeight="1">
      <c r="B1" s="120" t="s">
        <v>63</v>
      </c>
      <c r="C1" s="93">
        <v>0</v>
      </c>
      <c r="D1" s="93">
        <v>0</v>
      </c>
      <c r="E1" s="93">
        <v>0</v>
      </c>
      <c r="F1" s="93">
        <v>0.1</v>
      </c>
      <c r="G1" s="93">
        <v>0.2</v>
      </c>
      <c r="H1" s="93">
        <v>0.3</v>
      </c>
      <c r="I1" s="93">
        <v>0.4</v>
      </c>
      <c r="J1" s="93">
        <v>0.5</v>
      </c>
      <c r="K1" s="93">
        <v>0.6</v>
      </c>
      <c r="L1" s="93">
        <v>0.7</v>
      </c>
      <c r="M1" s="93">
        <v>0.8</v>
      </c>
      <c r="N1" s="93">
        <v>0.9</v>
      </c>
      <c r="O1" s="93">
        <v>1</v>
      </c>
      <c r="P1" s="93">
        <v>1.1000000000000001</v>
      </c>
      <c r="Q1" s="93">
        <v>1.2</v>
      </c>
      <c r="R1" s="93">
        <v>1.3</v>
      </c>
      <c r="S1" s="93">
        <v>1.4</v>
      </c>
      <c r="T1" s="93">
        <v>1.5</v>
      </c>
      <c r="U1" s="93">
        <v>1.6</v>
      </c>
      <c r="V1" s="93">
        <v>1.7</v>
      </c>
      <c r="W1" s="93">
        <v>1.8</v>
      </c>
      <c r="X1" s="93">
        <v>1.9</v>
      </c>
      <c r="Y1" s="93">
        <v>2</v>
      </c>
      <c r="Z1" s="93">
        <v>2.1</v>
      </c>
      <c r="AA1" s="93">
        <v>2.2000000000000002</v>
      </c>
      <c r="AB1" s="93">
        <v>2.2999999999999998</v>
      </c>
      <c r="AC1" s="93">
        <v>2.4</v>
      </c>
      <c r="AD1" s="93">
        <v>2.5</v>
      </c>
      <c r="AE1" s="93">
        <v>2.6</v>
      </c>
      <c r="AF1" s="93">
        <v>2.7</v>
      </c>
      <c r="AG1" s="93">
        <v>2.8</v>
      </c>
      <c r="AH1" s="93">
        <v>2.9</v>
      </c>
      <c r="AI1" s="93">
        <v>3</v>
      </c>
      <c r="AJ1" s="93">
        <v>3.1</v>
      </c>
      <c r="AK1" s="93">
        <v>3.2</v>
      </c>
      <c r="AL1" s="93">
        <v>3.3</v>
      </c>
    </row>
    <row r="2" spans="1:38" s="93" customFormat="1" ht="15" hidden="1" customHeight="1">
      <c r="A2" s="120"/>
      <c r="B2" s="120" t="s">
        <v>64</v>
      </c>
      <c r="C2" s="110">
        <f t="shared" ref="C2:AL2" si="0">C4-C3</f>
        <v>0</v>
      </c>
      <c r="D2" s="110">
        <f t="shared" si="0"/>
        <v>0</v>
      </c>
      <c r="E2" s="110">
        <f t="shared" si="0"/>
        <v>0</v>
      </c>
      <c r="F2" s="110">
        <f t="shared" si="0"/>
        <v>64.634449720654345</v>
      </c>
      <c r="G2" s="110">
        <f t="shared" si="0"/>
        <v>70.039205017717549</v>
      </c>
      <c r="H2" s="110">
        <f t="shared" si="0"/>
        <v>76.577398868768213</v>
      </c>
      <c r="I2" s="110">
        <f t="shared" si="0"/>
        <v>84.108216822093567</v>
      </c>
      <c r="J2" s="110">
        <f t="shared" si="0"/>
        <v>92.644361323103169</v>
      </c>
      <c r="K2" s="110">
        <f t="shared" si="0"/>
        <v>102.25056337778602</v>
      </c>
      <c r="L2" s="110">
        <f t="shared" si="0"/>
        <v>113.01995993040052</v>
      </c>
      <c r="M2" s="110">
        <f t="shared" si="0"/>
        <v>125.06674068128348</v>
      </c>
      <c r="N2" s="110">
        <f t="shared" si="0"/>
        <v>138.52390004382414</v>
      </c>
      <c r="O2" s="110">
        <f t="shared" si="0"/>
        <v>153.54304779434727</v>
      </c>
      <c r="P2" s="110">
        <f t="shared" si="0"/>
        <v>170.29523742595592</v>
      </c>
      <c r="Q2" s="110">
        <f t="shared" si="0"/>
        <v>188.97240435085081</v>
      </c>
      <c r="R2" s="110">
        <f t="shared" si="0"/>
        <v>209.78924240563765</v>
      </c>
      <c r="S2" s="110">
        <f t="shared" si="0"/>
        <v>232.98544733179659</v>
      </c>
      <c r="T2" s="110">
        <f t="shared" si="0"/>
        <v>258.82830328066547</v>
      </c>
      <c r="U2" s="110">
        <f t="shared" si="0"/>
        <v>287.615613244001</v>
      </c>
      <c r="V2" s="110">
        <f t="shared" si="0"/>
        <v>319.6789888659568</v>
      </c>
      <c r="W2" s="110">
        <f t="shared" si="0"/>
        <v>355.38752471017096</v>
      </c>
      <c r="X2" s="110">
        <f t="shared" si="0"/>
        <v>395.15188925654002</v>
      </c>
      <c r="Y2" s="110">
        <f t="shared" si="0"/>
        <v>439.428870946438</v>
      </c>
      <c r="Z2" s="110">
        <f t="shared" si="0"/>
        <v>488.7264231502939</v>
      </c>
      <c r="AA2" s="110">
        <f t="shared" si="0"/>
        <v>543.60925737218747</v>
      </c>
      <c r="AB2" s="110">
        <f t="shared" si="0"/>
        <v>604.70503955571655</v>
      </c>
      <c r="AC2" s="110">
        <f t="shared" si="0"/>
        <v>672.71125015601308</v>
      </c>
      <c r="AD2" s="110">
        <f t="shared" si="0"/>
        <v>748.4027747914738</v>
      </c>
      <c r="AE2" s="110">
        <f t="shared" si="0"/>
        <v>832.64029885669902</v>
      </c>
      <c r="AF2" s="110">
        <f t="shared" si="0"/>
        <v>926.3795865207602</v>
      </c>
      <c r="AG2" s="110">
        <f t="shared" si="0"/>
        <v>1030.6817320977175</v>
      </c>
      <c r="AH2" s="110">
        <f t="shared" si="0"/>
        <v>1146.724479897488</v>
      </c>
      <c r="AI2" s="110">
        <f t="shared" si="0"/>
        <v>1275.8147173770888</v>
      </c>
      <c r="AJ2" s="110">
        <f t="shared" si="0"/>
        <v>1419.4022557416129</v>
      </c>
      <c r="AK2" s="110">
        <f t="shared" si="0"/>
        <v>1579.0950221115443</v>
      </c>
      <c r="AL2" s="110">
        <f t="shared" si="0"/>
        <v>1756.6757979915283</v>
      </c>
    </row>
    <row r="3" spans="1:38" s="93" customFormat="1" hidden="1">
      <c r="A3" s="120"/>
      <c r="B3" s="120" t="s">
        <v>65</v>
      </c>
      <c r="C3" s="110">
        <f t="shared" ref="C3:AL3" si="1">C4*C6</f>
        <v>0</v>
      </c>
      <c r="D3" s="110">
        <f t="shared" si="1"/>
        <v>0</v>
      </c>
      <c r="E3" s="110">
        <f t="shared" si="1"/>
        <v>0</v>
      </c>
      <c r="F3" s="110">
        <f t="shared" si="1"/>
        <v>6.774442321244134</v>
      </c>
      <c r="G3" s="110">
        <f t="shared" si="1"/>
        <v>10.852801528409941</v>
      </c>
      <c r="H3" s="110">
        <f t="shared" si="1"/>
        <v>15.05708159928594</v>
      </c>
      <c r="I3" s="110">
        <f t="shared" si="1"/>
        <v>19.695340156827442</v>
      </c>
      <c r="J3" s="110">
        <f t="shared" si="1"/>
        <v>24.944327851956576</v>
      </c>
      <c r="K3" s="110">
        <f t="shared" si="1"/>
        <v>30.953926182399492</v>
      </c>
      <c r="L3" s="110">
        <f t="shared" si="1"/>
        <v>37.874111289103467</v>
      </c>
      <c r="M3" s="110">
        <f t="shared" si="1"/>
        <v>45.866092021093742</v>
      </c>
      <c r="N3" s="110">
        <f t="shared" si="1"/>
        <v>55.108845494307062</v>
      </c>
      <c r="O3" s="110">
        <f t="shared" si="1"/>
        <v>65.804163340434542</v>
      </c>
      <c r="P3" s="110">
        <f t="shared" si="1"/>
        <v>78.181325248882843</v>
      </c>
      <c r="Q3" s="110">
        <f t="shared" si="1"/>
        <v>92.501893313072756</v>
      </c>
      <c r="R3" s="110">
        <f t="shared" si="1"/>
        <v>109.06489575739731</v>
      </c>
      <c r="S3" s="110">
        <f t="shared" si="1"/>
        <v>128.21258128921062</v>
      </c>
      <c r="T3" s="110">
        <f t="shared" si="1"/>
        <v>150.33689253998193</v>
      </c>
      <c r="U3" s="110">
        <f t="shared" si="1"/>
        <v>175.88679874344874</v>
      </c>
      <c r="V3" s="110">
        <f t="shared" si="1"/>
        <v>205.37663197515127</v>
      </c>
      <c r="W3" s="110">
        <f t="shared" si="1"/>
        <v>239.39558287871935</v>
      </c>
      <c r="X3" s="110">
        <f t="shared" si="1"/>
        <v>278.61852864010791</v>
      </c>
      <c r="Y3" s="110">
        <f t="shared" si="1"/>
        <v>323.81838715558968</v>
      </c>
      <c r="Z3" s="110">
        <f t="shared" si="1"/>
        <v>375.88021662892828</v>
      </c>
      <c r="AA3" s="110">
        <f t="shared" si="1"/>
        <v>435.81730933339395</v>
      </c>
      <c r="AB3" s="110">
        <f t="shared" si="1"/>
        <v>504.78956230581218</v>
      </c>
      <c r="AC3" s="110">
        <f t="shared" si="1"/>
        <v>584.12444677675001</v>
      </c>
      <c r="AD3" s="110">
        <f t="shared" si="1"/>
        <v>675.34094278419002</v>
      </c>
      <c r="AE3" s="110">
        <f t="shared" si="1"/>
        <v>780.17685638727153</v>
      </c>
      <c r="AF3" s="110">
        <f t="shared" si="1"/>
        <v>900.61999503210166</v>
      </c>
      <c r="AG3" s="110">
        <f t="shared" si="1"/>
        <v>1038.9437428925971</v>
      </c>
      <c r="AH3" s="110">
        <f t="shared" si="1"/>
        <v>1197.7476535270011</v>
      </c>
      <c r="AI3" s="110">
        <f t="shared" si="1"/>
        <v>1380.0037632249143</v>
      </c>
      <c r="AJ3" s="110">
        <f t="shared" si="1"/>
        <v>1589.1094264188046</v>
      </c>
      <c r="AK3" s="110">
        <f t="shared" si="1"/>
        <v>1828.9475861483591</v>
      </c>
      <c r="AL3" s="110">
        <f t="shared" si="1"/>
        <v>2103.9555196752804</v>
      </c>
    </row>
    <row r="4" spans="1:38" s="93" customFormat="1" hidden="1">
      <c r="A4" s="120"/>
      <c r="B4" s="120" t="s">
        <v>59</v>
      </c>
      <c r="C4" s="110">
        <f t="shared" ref="C4:AL4" si="2">C20*C23</f>
        <v>0</v>
      </c>
      <c r="D4" s="110">
        <f t="shared" si="2"/>
        <v>0</v>
      </c>
      <c r="E4" s="110">
        <f t="shared" si="2"/>
        <v>0</v>
      </c>
      <c r="F4" s="110">
        <f t="shared" si="2"/>
        <v>71.408892041898483</v>
      </c>
      <c r="G4" s="110">
        <f t="shared" si="2"/>
        <v>80.89200654612749</v>
      </c>
      <c r="H4" s="110">
        <f t="shared" si="2"/>
        <v>91.63448046805415</v>
      </c>
      <c r="I4" s="110">
        <f t="shared" si="2"/>
        <v>103.80355697892101</v>
      </c>
      <c r="J4" s="110">
        <f t="shared" si="2"/>
        <v>117.58868917505974</v>
      </c>
      <c r="K4" s="110">
        <f t="shared" si="2"/>
        <v>133.20448956018552</v>
      </c>
      <c r="L4" s="110">
        <f t="shared" si="2"/>
        <v>150.89407121950399</v>
      </c>
      <c r="M4" s="110">
        <f t="shared" si="2"/>
        <v>170.93283270237723</v>
      </c>
      <c r="N4" s="110">
        <f t="shared" si="2"/>
        <v>193.63274553813122</v>
      </c>
      <c r="O4" s="110">
        <f t="shared" si="2"/>
        <v>219.34721113478182</v>
      </c>
      <c r="P4" s="110">
        <f t="shared" si="2"/>
        <v>248.47656267483876</v>
      </c>
      <c r="Q4" s="110">
        <f t="shared" si="2"/>
        <v>281.47429766392355</v>
      </c>
      <c r="R4" s="110">
        <f t="shared" si="2"/>
        <v>318.85413816303497</v>
      </c>
      <c r="S4" s="110">
        <f t="shared" si="2"/>
        <v>361.19802862100721</v>
      </c>
      <c r="T4" s="110">
        <f t="shared" si="2"/>
        <v>409.1651958206474</v>
      </c>
      <c r="U4" s="110">
        <f t="shared" si="2"/>
        <v>463.50241198744976</v>
      </c>
      <c r="V4" s="110">
        <f t="shared" si="2"/>
        <v>525.05562084110807</v>
      </c>
      <c r="W4" s="110">
        <f t="shared" si="2"/>
        <v>594.78310758889029</v>
      </c>
      <c r="X4" s="110">
        <f t="shared" si="2"/>
        <v>673.77041789664793</v>
      </c>
      <c r="Y4" s="110">
        <f t="shared" si="2"/>
        <v>763.24725810202767</v>
      </c>
      <c r="Z4" s="110">
        <f t="shared" si="2"/>
        <v>864.60663977922218</v>
      </c>
      <c r="AA4" s="110">
        <f t="shared" si="2"/>
        <v>979.42656670558142</v>
      </c>
      <c r="AB4" s="110">
        <f t="shared" si="2"/>
        <v>1109.4946018615287</v>
      </c>
      <c r="AC4" s="110">
        <f t="shared" si="2"/>
        <v>1256.8356969327631</v>
      </c>
      <c r="AD4" s="110">
        <f t="shared" si="2"/>
        <v>1423.7437175756638</v>
      </c>
      <c r="AE4" s="110">
        <f t="shared" si="2"/>
        <v>1612.8171552439705</v>
      </c>
      <c r="AF4" s="110">
        <f t="shared" si="2"/>
        <v>1826.9995815528619</v>
      </c>
      <c r="AG4" s="110">
        <f t="shared" si="2"/>
        <v>2069.6254749903146</v>
      </c>
      <c r="AH4" s="110">
        <f t="shared" si="2"/>
        <v>2344.4721334244891</v>
      </c>
      <c r="AI4" s="110">
        <f t="shared" si="2"/>
        <v>2655.8184806020031</v>
      </c>
      <c r="AJ4" s="110">
        <f t="shared" si="2"/>
        <v>3008.5116821604174</v>
      </c>
      <c r="AK4" s="110">
        <f t="shared" si="2"/>
        <v>3408.0426082599033</v>
      </c>
      <c r="AL4" s="110">
        <f t="shared" si="2"/>
        <v>3860.6313176668086</v>
      </c>
    </row>
    <row r="5" spans="1:38" s="93" customFormat="1" ht="15" hidden="1" customHeight="1">
      <c r="B5" s="120" t="s">
        <v>111</v>
      </c>
      <c r="C5" s="93">
        <v>0</v>
      </c>
      <c r="D5" s="93">
        <v>0</v>
      </c>
      <c r="E5" s="93">
        <v>0</v>
      </c>
      <c r="F5" s="93">
        <v>0.1</v>
      </c>
      <c r="G5" s="93">
        <v>0.2</v>
      </c>
      <c r="H5" s="93">
        <v>0.3</v>
      </c>
      <c r="I5" s="93">
        <v>0.4</v>
      </c>
      <c r="J5" s="93">
        <v>0.5</v>
      </c>
      <c r="K5" s="93">
        <v>0.6</v>
      </c>
      <c r="L5" s="93">
        <v>0.7</v>
      </c>
      <c r="M5" s="93">
        <v>0.8</v>
      </c>
      <c r="N5" s="93">
        <v>0.9</v>
      </c>
      <c r="O5" s="93">
        <v>1</v>
      </c>
      <c r="P5" s="93">
        <v>1.1000000000000001</v>
      </c>
      <c r="Q5" s="93">
        <v>1.2</v>
      </c>
      <c r="R5" s="93">
        <v>1.3</v>
      </c>
      <c r="S5" s="93">
        <v>1.4</v>
      </c>
      <c r="T5" s="93">
        <v>1.5</v>
      </c>
      <c r="U5" s="93">
        <v>1.6</v>
      </c>
      <c r="V5" s="93">
        <v>1.7</v>
      </c>
      <c r="W5" s="93">
        <v>1.8</v>
      </c>
      <c r="X5" s="93">
        <v>1.9</v>
      </c>
      <c r="Y5" s="93">
        <v>2</v>
      </c>
      <c r="Z5" s="93">
        <v>2.1</v>
      </c>
      <c r="AA5" s="93">
        <v>2.2000000000000002</v>
      </c>
      <c r="AB5" s="93">
        <v>2.2999999999999998</v>
      </c>
      <c r="AC5" s="93">
        <v>2.4</v>
      </c>
      <c r="AD5" s="93">
        <v>2.5</v>
      </c>
      <c r="AE5" s="93">
        <v>2.6</v>
      </c>
      <c r="AF5" s="93">
        <v>2.7</v>
      </c>
      <c r="AG5" s="93">
        <v>2.8</v>
      </c>
      <c r="AH5" s="93">
        <v>2.9</v>
      </c>
      <c r="AI5" s="93">
        <v>3</v>
      </c>
      <c r="AJ5" s="93">
        <v>3.1</v>
      </c>
      <c r="AK5" s="93">
        <v>3.2</v>
      </c>
      <c r="AL5" s="93">
        <v>3.3</v>
      </c>
    </row>
    <row r="6" spans="1:38" s="93" customFormat="1" ht="15" hidden="1" customHeight="1">
      <c r="B6" s="120" t="s">
        <v>112</v>
      </c>
      <c r="C6" s="93">
        <f t="shared" ref="C6:AL6" si="3">SQRT(C5)*0.3</f>
        <v>0</v>
      </c>
      <c r="D6" s="93">
        <f t="shared" si="3"/>
        <v>0</v>
      </c>
      <c r="E6" s="93">
        <f t="shared" si="3"/>
        <v>0</v>
      </c>
      <c r="F6" s="93">
        <f t="shared" si="3"/>
        <v>9.4868329805051374E-2</v>
      </c>
      <c r="G6" s="93">
        <f t="shared" si="3"/>
        <v>0.13416407864998736</v>
      </c>
      <c r="H6" s="93">
        <f t="shared" si="3"/>
        <v>0.16431676725154981</v>
      </c>
      <c r="I6" s="93">
        <f t="shared" si="3"/>
        <v>0.18973665961010275</v>
      </c>
      <c r="J6" s="93">
        <f t="shared" si="3"/>
        <v>0.21213203435596426</v>
      </c>
      <c r="K6" s="93">
        <f t="shared" si="3"/>
        <v>0.232379000772445</v>
      </c>
      <c r="L6" s="93">
        <f t="shared" si="3"/>
        <v>0.25099800796022265</v>
      </c>
      <c r="M6" s="93">
        <f t="shared" si="3"/>
        <v>0.26832815729997472</v>
      </c>
      <c r="N6" s="93">
        <f t="shared" si="3"/>
        <v>0.28460498941515411</v>
      </c>
      <c r="O6" s="93">
        <f t="shared" si="3"/>
        <v>0.3</v>
      </c>
      <c r="P6" s="93">
        <f t="shared" si="3"/>
        <v>0.3146426544510455</v>
      </c>
      <c r="Q6" s="93">
        <f t="shared" si="3"/>
        <v>0.32863353450309962</v>
      </c>
      <c r="R6" s="93">
        <f t="shared" si="3"/>
        <v>0.34205262752974142</v>
      </c>
      <c r="S6" s="93">
        <f t="shared" si="3"/>
        <v>0.35496478698597694</v>
      </c>
      <c r="T6" s="93">
        <f t="shared" si="3"/>
        <v>0.36742346141747667</v>
      </c>
      <c r="U6" s="93">
        <f t="shared" si="3"/>
        <v>0.3794733192202055</v>
      </c>
      <c r="V6" s="93">
        <f t="shared" si="3"/>
        <v>0.39115214431215889</v>
      </c>
      <c r="W6" s="93">
        <f t="shared" si="3"/>
        <v>0.40249223594996214</v>
      </c>
      <c r="X6" s="93">
        <f t="shared" si="3"/>
        <v>0.41352146256270661</v>
      </c>
      <c r="Y6" s="93">
        <f t="shared" si="3"/>
        <v>0.42426406871192851</v>
      </c>
      <c r="Z6" s="93">
        <f t="shared" si="3"/>
        <v>0.43474130238568315</v>
      </c>
      <c r="AA6" s="93">
        <f t="shared" si="3"/>
        <v>0.44497190922573976</v>
      </c>
      <c r="AB6" s="93">
        <f t="shared" si="3"/>
        <v>0.45497252664309296</v>
      </c>
      <c r="AC6" s="93">
        <f t="shared" si="3"/>
        <v>0.46475800154489</v>
      </c>
      <c r="AD6" s="93">
        <f t="shared" si="3"/>
        <v>0.47434164902525688</v>
      </c>
      <c r="AE6" s="93">
        <f t="shared" si="3"/>
        <v>0.48373546489791297</v>
      </c>
      <c r="AF6" s="93">
        <f t="shared" si="3"/>
        <v>0.49295030175464949</v>
      </c>
      <c r="AG6" s="93">
        <f t="shared" si="3"/>
        <v>0.50199601592044529</v>
      </c>
      <c r="AH6" s="93">
        <f t="shared" si="3"/>
        <v>0.51088159097779196</v>
      </c>
      <c r="AI6" s="93">
        <f t="shared" si="3"/>
        <v>0.51961524227066314</v>
      </c>
      <c r="AJ6" s="93">
        <f t="shared" si="3"/>
        <v>0.5282045058497703</v>
      </c>
      <c r="AK6" s="93">
        <f t="shared" si="3"/>
        <v>0.53665631459994945</v>
      </c>
      <c r="AL6" s="93">
        <f t="shared" si="3"/>
        <v>0.54497706373754851</v>
      </c>
    </row>
    <row r="7" spans="1:38" ht="105" customHeight="1">
      <c r="A7" s="108"/>
      <c r="B7" s="108"/>
      <c r="C7" s="108"/>
      <c r="D7" s="109"/>
      <c r="E7" s="109"/>
      <c r="F7" s="110"/>
      <c r="G7" s="110"/>
      <c r="H7" s="109"/>
      <c r="I7" s="109"/>
      <c r="K7" s="112"/>
      <c r="L7" s="113"/>
      <c r="M7" s="112"/>
      <c r="P7" s="93"/>
      <c r="Q7" s="110"/>
      <c r="R7" s="110"/>
      <c r="S7" s="110"/>
      <c r="T7" s="93"/>
      <c r="U7" s="108"/>
    </row>
    <row r="8" spans="1:38" ht="15" customHeight="1">
      <c r="C8" s="246" t="s">
        <v>120</v>
      </c>
      <c r="D8" s="247"/>
      <c r="E8" s="248"/>
      <c r="H8" s="115"/>
      <c r="I8" s="115"/>
    </row>
    <row r="9" spans="1:38">
      <c r="B9" s="120"/>
      <c r="C9" s="249">
        <v>2.5000000000000001E-2</v>
      </c>
      <c r="D9" s="250"/>
      <c r="E9" s="251"/>
      <c r="H9" s="115"/>
      <c r="I9" s="115"/>
    </row>
    <row r="10" spans="1:38">
      <c r="B10" s="120"/>
      <c r="C10" s="120"/>
      <c r="D10" s="139"/>
      <c r="E10" s="139"/>
      <c r="F10" s="139"/>
    </row>
    <row r="11" spans="1:38">
      <c r="B11" s="252" t="s">
        <v>121</v>
      </c>
      <c r="C11" s="253"/>
      <c r="D11" s="253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4"/>
    </row>
    <row r="12" spans="1:38" s="93" customFormat="1">
      <c r="A12" s="120"/>
      <c r="B12" s="165"/>
      <c r="C12" s="255" t="s">
        <v>52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 t="s">
        <v>57</v>
      </c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255"/>
      <c r="AA12" s="255" t="s">
        <v>58</v>
      </c>
      <c r="AB12" s="255"/>
      <c r="AC12" s="255"/>
      <c r="AD12" s="255"/>
      <c r="AE12" s="255"/>
      <c r="AF12" s="255"/>
      <c r="AG12" s="255"/>
      <c r="AH12" s="255"/>
      <c r="AI12" s="255"/>
      <c r="AJ12" s="255"/>
      <c r="AK12" s="255"/>
      <c r="AL12" s="256"/>
    </row>
    <row r="13" spans="1:38" s="93" customFormat="1">
      <c r="A13" s="120"/>
      <c r="B13" s="125"/>
      <c r="C13" s="257" t="s">
        <v>53</v>
      </c>
      <c r="D13" s="257"/>
      <c r="E13" s="257"/>
      <c r="F13" s="257" t="s">
        <v>54</v>
      </c>
      <c r="G13" s="257"/>
      <c r="H13" s="257"/>
      <c r="I13" s="257" t="s">
        <v>55</v>
      </c>
      <c r="J13" s="257"/>
      <c r="K13" s="257"/>
      <c r="L13" s="257" t="s">
        <v>56</v>
      </c>
      <c r="M13" s="257"/>
      <c r="N13" s="257"/>
      <c r="O13" s="257" t="s">
        <v>53</v>
      </c>
      <c r="P13" s="257"/>
      <c r="Q13" s="257"/>
      <c r="R13" s="257" t="s">
        <v>54</v>
      </c>
      <c r="S13" s="257"/>
      <c r="T13" s="257"/>
      <c r="U13" s="257" t="s">
        <v>55</v>
      </c>
      <c r="V13" s="257"/>
      <c r="W13" s="257"/>
      <c r="X13" s="257" t="s">
        <v>56</v>
      </c>
      <c r="Y13" s="257"/>
      <c r="Z13" s="257"/>
      <c r="AA13" s="257" t="s">
        <v>53</v>
      </c>
      <c r="AB13" s="257"/>
      <c r="AC13" s="257"/>
      <c r="AD13" s="257" t="s">
        <v>54</v>
      </c>
      <c r="AE13" s="257"/>
      <c r="AF13" s="257"/>
      <c r="AG13" s="257" t="s">
        <v>55</v>
      </c>
      <c r="AH13" s="257"/>
      <c r="AI13" s="257"/>
      <c r="AJ13" s="257" t="s">
        <v>56</v>
      </c>
      <c r="AK13" s="257"/>
      <c r="AL13" s="258"/>
    </row>
    <row r="14" spans="1:38" s="93" customFormat="1">
      <c r="A14" s="120"/>
      <c r="B14" s="166"/>
      <c r="C14" s="167" t="s">
        <v>9</v>
      </c>
      <c r="D14" s="167" t="s">
        <v>10</v>
      </c>
      <c r="E14" s="167" t="s">
        <v>11</v>
      </c>
      <c r="F14" s="167" t="s">
        <v>12</v>
      </c>
      <c r="G14" s="167" t="s">
        <v>13</v>
      </c>
      <c r="H14" s="167" t="s">
        <v>14</v>
      </c>
      <c r="I14" s="167" t="s">
        <v>15</v>
      </c>
      <c r="J14" s="167" t="s">
        <v>16</v>
      </c>
      <c r="K14" s="167" t="s">
        <v>17</v>
      </c>
      <c r="L14" s="167" t="s">
        <v>18</v>
      </c>
      <c r="M14" s="167" t="s">
        <v>19</v>
      </c>
      <c r="N14" s="167" t="s">
        <v>20</v>
      </c>
      <c r="O14" s="167" t="s">
        <v>21</v>
      </c>
      <c r="P14" s="167" t="s">
        <v>22</v>
      </c>
      <c r="Q14" s="167" t="s">
        <v>23</v>
      </c>
      <c r="R14" s="167" t="s">
        <v>24</v>
      </c>
      <c r="S14" s="167" t="s">
        <v>25</v>
      </c>
      <c r="T14" s="167" t="s">
        <v>26</v>
      </c>
      <c r="U14" s="167" t="s">
        <v>27</v>
      </c>
      <c r="V14" s="167" t="s">
        <v>28</v>
      </c>
      <c r="W14" s="167" t="s">
        <v>29</v>
      </c>
      <c r="X14" s="167" t="s">
        <v>30</v>
      </c>
      <c r="Y14" s="167" t="s">
        <v>31</v>
      </c>
      <c r="Z14" s="167" t="s">
        <v>32</v>
      </c>
      <c r="AA14" s="167" t="s">
        <v>33</v>
      </c>
      <c r="AB14" s="167" t="s">
        <v>34</v>
      </c>
      <c r="AC14" s="167" t="s">
        <v>35</v>
      </c>
      <c r="AD14" s="167" t="s">
        <v>36</v>
      </c>
      <c r="AE14" s="167" t="s">
        <v>37</v>
      </c>
      <c r="AF14" s="167" t="s">
        <v>38</v>
      </c>
      <c r="AG14" s="167" t="s">
        <v>39</v>
      </c>
      <c r="AH14" s="167" t="s">
        <v>40</v>
      </c>
      <c r="AI14" s="167" t="s">
        <v>41</v>
      </c>
      <c r="AJ14" s="167" t="s">
        <v>42</v>
      </c>
      <c r="AK14" s="167" t="s">
        <v>43</v>
      </c>
      <c r="AL14" s="168" t="s">
        <v>44</v>
      </c>
    </row>
    <row r="15" spans="1:38" s="143" customFormat="1">
      <c r="A15" s="141"/>
      <c r="B15" s="147" t="s">
        <v>115</v>
      </c>
      <c r="C15" s="142">
        <f>SUM(C16:C17)</f>
        <v>0</v>
      </c>
      <c r="D15" s="142">
        <f t="shared" ref="D15:AL15" si="4">SUM(D16:D17)</f>
        <v>0</v>
      </c>
      <c r="E15" s="142">
        <f t="shared" si="4"/>
        <v>0</v>
      </c>
      <c r="F15" s="142">
        <f t="shared" si="4"/>
        <v>71.408892041898483</v>
      </c>
      <c r="G15" s="142">
        <f t="shared" si="4"/>
        <v>80.89200654612749</v>
      </c>
      <c r="H15" s="142">
        <f t="shared" si="4"/>
        <v>91.63448046805415</v>
      </c>
      <c r="I15" s="142">
        <f t="shared" si="4"/>
        <v>103.80355697892101</v>
      </c>
      <c r="J15" s="142">
        <f t="shared" si="4"/>
        <v>117.58868917505974</v>
      </c>
      <c r="K15" s="142">
        <f t="shared" si="4"/>
        <v>133.20448956018552</v>
      </c>
      <c r="L15" s="142">
        <f t="shared" si="4"/>
        <v>150.89407121950399</v>
      </c>
      <c r="M15" s="142">
        <f t="shared" si="4"/>
        <v>170.93283270237723</v>
      </c>
      <c r="N15" s="142">
        <f t="shared" si="4"/>
        <v>193.63274553813119</v>
      </c>
      <c r="O15" s="142">
        <f t="shared" si="4"/>
        <v>219.34721113478182</v>
      </c>
      <c r="P15" s="142">
        <f t="shared" si="4"/>
        <v>248.47656267483876</v>
      </c>
      <c r="Q15" s="142">
        <f t="shared" si="4"/>
        <v>281.47429766392355</v>
      </c>
      <c r="R15" s="142">
        <f t="shared" si="4"/>
        <v>318.85413816303497</v>
      </c>
      <c r="S15" s="142">
        <f t="shared" si="4"/>
        <v>361.19802862100721</v>
      </c>
      <c r="T15" s="142">
        <f t="shared" si="4"/>
        <v>409.1651958206474</v>
      </c>
      <c r="U15" s="142">
        <f t="shared" si="4"/>
        <v>463.5024119874497</v>
      </c>
      <c r="V15" s="142">
        <f t="shared" si="4"/>
        <v>525.05562084110807</v>
      </c>
      <c r="W15" s="142">
        <f t="shared" si="4"/>
        <v>594.78310758889029</v>
      </c>
      <c r="X15" s="142">
        <f t="shared" si="4"/>
        <v>673.77041789664793</v>
      </c>
      <c r="Y15" s="142">
        <f t="shared" si="4"/>
        <v>763.24725810202767</v>
      </c>
      <c r="Z15" s="142">
        <f t="shared" si="4"/>
        <v>864.60663977922218</v>
      </c>
      <c r="AA15" s="142">
        <f t="shared" si="4"/>
        <v>979.42656670558142</v>
      </c>
      <c r="AB15" s="142">
        <f t="shared" si="4"/>
        <v>1109.4946018615287</v>
      </c>
      <c r="AC15" s="142">
        <f t="shared" si="4"/>
        <v>1256.8356969327631</v>
      </c>
      <c r="AD15" s="142">
        <f t="shared" si="4"/>
        <v>1423.7437175756638</v>
      </c>
      <c r="AE15" s="142">
        <f t="shared" si="4"/>
        <v>1612.8171552439705</v>
      </c>
      <c r="AF15" s="142">
        <f t="shared" si="4"/>
        <v>1826.9995815528619</v>
      </c>
      <c r="AG15" s="142">
        <f t="shared" si="4"/>
        <v>2069.6254749903146</v>
      </c>
      <c r="AH15" s="142">
        <f t="shared" si="4"/>
        <v>2344.4721334244891</v>
      </c>
      <c r="AI15" s="142">
        <f t="shared" si="4"/>
        <v>2655.8184806020031</v>
      </c>
      <c r="AJ15" s="142">
        <f t="shared" si="4"/>
        <v>3008.5116821604174</v>
      </c>
      <c r="AK15" s="142">
        <f t="shared" si="4"/>
        <v>3408.0426082599033</v>
      </c>
      <c r="AL15" s="148">
        <f t="shared" si="4"/>
        <v>3860.6313176668086</v>
      </c>
    </row>
    <row r="16" spans="1:38" s="93" customFormat="1">
      <c r="A16" s="120"/>
      <c r="B16" s="149" t="s">
        <v>60</v>
      </c>
      <c r="C16" s="110">
        <f t="shared" ref="C16:AL16" si="5">C2</f>
        <v>0</v>
      </c>
      <c r="D16" s="110">
        <f t="shared" si="5"/>
        <v>0</v>
      </c>
      <c r="E16" s="110">
        <f t="shared" si="5"/>
        <v>0</v>
      </c>
      <c r="F16" s="110">
        <f t="shared" si="5"/>
        <v>64.634449720654345</v>
      </c>
      <c r="G16" s="110">
        <f t="shared" si="5"/>
        <v>70.039205017717549</v>
      </c>
      <c r="H16" s="110">
        <f t="shared" si="5"/>
        <v>76.577398868768213</v>
      </c>
      <c r="I16" s="110">
        <f t="shared" si="5"/>
        <v>84.108216822093567</v>
      </c>
      <c r="J16" s="110">
        <f t="shared" si="5"/>
        <v>92.644361323103169</v>
      </c>
      <c r="K16" s="110">
        <f t="shared" si="5"/>
        <v>102.25056337778602</v>
      </c>
      <c r="L16" s="110">
        <f t="shared" si="5"/>
        <v>113.01995993040052</v>
      </c>
      <c r="M16" s="110">
        <f t="shared" si="5"/>
        <v>125.06674068128348</v>
      </c>
      <c r="N16" s="110">
        <f t="shared" si="5"/>
        <v>138.52390004382414</v>
      </c>
      <c r="O16" s="110">
        <f t="shared" si="5"/>
        <v>153.54304779434727</v>
      </c>
      <c r="P16" s="110">
        <f t="shared" si="5"/>
        <v>170.29523742595592</v>
      </c>
      <c r="Q16" s="110">
        <f t="shared" si="5"/>
        <v>188.97240435085081</v>
      </c>
      <c r="R16" s="110">
        <f t="shared" si="5"/>
        <v>209.78924240563765</v>
      </c>
      <c r="S16" s="110">
        <f t="shared" si="5"/>
        <v>232.98544733179659</v>
      </c>
      <c r="T16" s="110">
        <f t="shared" si="5"/>
        <v>258.82830328066547</v>
      </c>
      <c r="U16" s="110">
        <f t="shared" si="5"/>
        <v>287.615613244001</v>
      </c>
      <c r="V16" s="110">
        <f t="shared" si="5"/>
        <v>319.6789888659568</v>
      </c>
      <c r="W16" s="110">
        <f t="shared" si="5"/>
        <v>355.38752471017096</v>
      </c>
      <c r="X16" s="110">
        <f t="shared" si="5"/>
        <v>395.15188925654002</v>
      </c>
      <c r="Y16" s="110">
        <f t="shared" si="5"/>
        <v>439.428870946438</v>
      </c>
      <c r="Z16" s="110">
        <f t="shared" si="5"/>
        <v>488.7264231502939</v>
      </c>
      <c r="AA16" s="110">
        <f t="shared" si="5"/>
        <v>543.60925737218747</v>
      </c>
      <c r="AB16" s="110">
        <f t="shared" si="5"/>
        <v>604.70503955571655</v>
      </c>
      <c r="AC16" s="110">
        <f t="shared" si="5"/>
        <v>672.71125015601308</v>
      </c>
      <c r="AD16" s="110">
        <f t="shared" si="5"/>
        <v>748.4027747914738</v>
      </c>
      <c r="AE16" s="110">
        <f t="shared" si="5"/>
        <v>832.64029885669902</v>
      </c>
      <c r="AF16" s="110">
        <f t="shared" si="5"/>
        <v>926.3795865207602</v>
      </c>
      <c r="AG16" s="110">
        <f t="shared" si="5"/>
        <v>1030.6817320977175</v>
      </c>
      <c r="AH16" s="110">
        <f t="shared" si="5"/>
        <v>1146.724479897488</v>
      </c>
      <c r="AI16" s="110">
        <f t="shared" si="5"/>
        <v>1275.8147173770888</v>
      </c>
      <c r="AJ16" s="110">
        <f t="shared" si="5"/>
        <v>1419.4022557416129</v>
      </c>
      <c r="AK16" s="110">
        <f t="shared" si="5"/>
        <v>1579.0950221115443</v>
      </c>
      <c r="AL16" s="150">
        <f t="shared" si="5"/>
        <v>1756.6757979915283</v>
      </c>
    </row>
    <row r="17" spans="1:38" s="93" customFormat="1">
      <c r="A17" s="120"/>
      <c r="B17" s="45" t="s">
        <v>61</v>
      </c>
      <c r="C17" s="138">
        <f t="shared" ref="C17:AL17" si="6">C3</f>
        <v>0</v>
      </c>
      <c r="D17" s="138">
        <f t="shared" si="6"/>
        <v>0</v>
      </c>
      <c r="E17" s="138">
        <f t="shared" si="6"/>
        <v>0</v>
      </c>
      <c r="F17" s="138">
        <f t="shared" si="6"/>
        <v>6.774442321244134</v>
      </c>
      <c r="G17" s="138">
        <f t="shared" si="6"/>
        <v>10.852801528409941</v>
      </c>
      <c r="H17" s="138">
        <f t="shared" si="6"/>
        <v>15.05708159928594</v>
      </c>
      <c r="I17" s="138">
        <f t="shared" si="6"/>
        <v>19.695340156827442</v>
      </c>
      <c r="J17" s="138">
        <f t="shared" si="6"/>
        <v>24.944327851956576</v>
      </c>
      <c r="K17" s="138">
        <f t="shared" si="6"/>
        <v>30.953926182399492</v>
      </c>
      <c r="L17" s="138">
        <f t="shared" si="6"/>
        <v>37.874111289103467</v>
      </c>
      <c r="M17" s="138">
        <f t="shared" si="6"/>
        <v>45.866092021093742</v>
      </c>
      <c r="N17" s="138">
        <f t="shared" si="6"/>
        <v>55.108845494307062</v>
      </c>
      <c r="O17" s="138">
        <f t="shared" si="6"/>
        <v>65.804163340434542</v>
      </c>
      <c r="P17" s="138">
        <f t="shared" si="6"/>
        <v>78.181325248882843</v>
      </c>
      <c r="Q17" s="138">
        <f t="shared" si="6"/>
        <v>92.501893313072756</v>
      </c>
      <c r="R17" s="138">
        <f t="shared" si="6"/>
        <v>109.06489575739731</v>
      </c>
      <c r="S17" s="138">
        <f t="shared" si="6"/>
        <v>128.21258128921062</v>
      </c>
      <c r="T17" s="138">
        <f t="shared" si="6"/>
        <v>150.33689253998193</v>
      </c>
      <c r="U17" s="138">
        <f t="shared" si="6"/>
        <v>175.88679874344874</v>
      </c>
      <c r="V17" s="138">
        <f t="shared" si="6"/>
        <v>205.37663197515127</v>
      </c>
      <c r="W17" s="138">
        <f t="shared" si="6"/>
        <v>239.39558287871935</v>
      </c>
      <c r="X17" s="138">
        <f t="shared" si="6"/>
        <v>278.61852864010791</v>
      </c>
      <c r="Y17" s="138">
        <f t="shared" si="6"/>
        <v>323.81838715558968</v>
      </c>
      <c r="Z17" s="138">
        <f t="shared" si="6"/>
        <v>375.88021662892828</v>
      </c>
      <c r="AA17" s="138">
        <f t="shared" si="6"/>
        <v>435.81730933339395</v>
      </c>
      <c r="AB17" s="138">
        <f t="shared" si="6"/>
        <v>504.78956230581218</v>
      </c>
      <c r="AC17" s="138">
        <f t="shared" si="6"/>
        <v>584.12444677675001</v>
      </c>
      <c r="AD17" s="138">
        <f t="shared" si="6"/>
        <v>675.34094278419002</v>
      </c>
      <c r="AE17" s="138">
        <f t="shared" si="6"/>
        <v>780.17685638727153</v>
      </c>
      <c r="AF17" s="138">
        <f t="shared" si="6"/>
        <v>900.61999503210166</v>
      </c>
      <c r="AG17" s="138">
        <f t="shared" si="6"/>
        <v>1038.9437428925971</v>
      </c>
      <c r="AH17" s="138">
        <f t="shared" si="6"/>
        <v>1197.7476535270011</v>
      </c>
      <c r="AI17" s="138">
        <f t="shared" si="6"/>
        <v>1380.0037632249143</v>
      </c>
      <c r="AJ17" s="138">
        <f t="shared" si="6"/>
        <v>1589.1094264188046</v>
      </c>
      <c r="AK17" s="138">
        <f t="shared" si="6"/>
        <v>1828.9475861483591</v>
      </c>
      <c r="AL17" s="151">
        <f t="shared" si="6"/>
        <v>2103.9555196752804</v>
      </c>
    </row>
    <row r="18" spans="1:38" s="143" customFormat="1" ht="15" customHeight="1">
      <c r="B18" s="147" t="s">
        <v>4</v>
      </c>
      <c r="C18" s="142">
        <f t="shared" ref="C18:AL18" si="7">C20*C24</f>
        <v>11250</v>
      </c>
      <c r="D18" s="142">
        <f t="shared" si="7"/>
        <v>11531.25</v>
      </c>
      <c r="E18" s="142">
        <f t="shared" si="7"/>
        <v>11819.53125</v>
      </c>
      <c r="F18" s="142">
        <f t="shared" si="7"/>
        <v>12079.315085229051</v>
      </c>
      <c r="G18" s="142">
        <f t="shared" si="7"/>
        <v>12377.449016258186</v>
      </c>
      <c r="H18" s="142">
        <f t="shared" si="7"/>
        <v>12682.525154785504</v>
      </c>
      <c r="I18" s="142">
        <f t="shared" si="7"/>
        <v>12994.649176405559</v>
      </c>
      <c r="J18" s="142">
        <f t="shared" si="7"/>
        <v>13313.920384179864</v>
      </c>
      <c r="K18" s="142">
        <f t="shared" si="7"/>
        <v>13640.430352206487</v>
      </c>
      <c r="L18" s="142">
        <f t="shared" si="7"/>
        <v>13974.261376301494</v>
      </c>
      <c r="M18" s="142">
        <f t="shared" si="7"/>
        <v>14315.484705857838</v>
      </c>
      <c r="N18" s="142">
        <f t="shared" si="7"/>
        <v>14664.158527495187</v>
      </c>
      <c r="O18" s="142">
        <f t="shared" si="7"/>
        <v>15020.325667203466</v>
      </c>
      <c r="P18" s="142">
        <f t="shared" si="7"/>
        <v>15384.010973252711</v>
      </c>
      <c r="Q18" s="142">
        <f t="shared" si="7"/>
        <v>15755.21833712292</v>
      </c>
      <c r="R18" s="142">
        <f t="shared" si="7"/>
        <v>16133.927304022238</v>
      </c>
      <c r="S18" s="142">
        <f t="shared" si="7"/>
        <v>16520.089218120847</v>
      </c>
      <c r="T18" s="142">
        <f t="shared" si="7"/>
        <v>16913.622840331809</v>
      </c>
      <c r="U18" s="142">
        <f t="shared" si="7"/>
        <v>17314.409368204462</v>
      </c>
      <c r="V18" s="142">
        <f t="shared" si="7"/>
        <v>17722.286778132591</v>
      </c>
      <c r="W18" s="142">
        <f t="shared" si="7"/>
        <v>18137.043399472524</v>
      </c>
      <c r="X18" s="142">
        <f t="shared" si="7"/>
        <v>18558.410618150319</v>
      </c>
      <c r="Y18" s="142">
        <f t="shared" si="7"/>
        <v>18986.054593725101</v>
      </c>
      <c r="Z18" s="142">
        <f t="shared" si="7"/>
        <v>19419.566858455906</v>
      </c>
      <c r="AA18" s="142">
        <f t="shared" si="7"/>
        <v>19858.453649451363</v>
      </c>
      <c r="AB18" s="142">
        <f t="shared" si="7"/>
        <v>20302.123805193492</v>
      </c>
      <c r="AC18" s="142">
        <f t="shared" si="7"/>
        <v>20749.875035310983</v>
      </c>
      <c r="AD18" s="142">
        <f t="shared" si="7"/>
        <v>21200.878347083966</v>
      </c>
      <c r="AE18" s="142">
        <f t="shared" si="7"/>
        <v>21654.160383396611</v>
      </c>
      <c r="AF18" s="142">
        <f t="shared" si="7"/>
        <v>22108.583394267629</v>
      </c>
      <c r="AG18" s="142">
        <f t="shared" si="7"/>
        <v>22562.822527175005</v>
      </c>
      <c r="AH18" s="142">
        <f t="shared" si="7"/>
        <v>23015.340079574671</v>
      </c>
      <c r="AI18" s="142">
        <f t="shared" si="7"/>
        <v>23464.356309643088</v>
      </c>
      <c r="AJ18" s="142">
        <f t="shared" si="7"/>
        <v>23907.816347612483</v>
      </c>
      <c r="AK18" s="142">
        <f t="shared" si="7"/>
        <v>24343.352689280058</v>
      </c>
      <c r="AL18" s="148">
        <f t="shared" si="7"/>
        <v>24768.242684411853</v>
      </c>
    </row>
    <row r="19" spans="1:38" s="143" customFormat="1" ht="15" customHeight="1">
      <c r="B19" s="147" t="s">
        <v>62</v>
      </c>
      <c r="C19" s="142">
        <f t="shared" ref="C19:AL19" si="8">C20*C25</f>
        <v>3750</v>
      </c>
      <c r="D19" s="142">
        <f t="shared" si="8"/>
        <v>3843.75</v>
      </c>
      <c r="E19" s="142">
        <f t="shared" si="8"/>
        <v>3939.84375</v>
      </c>
      <c r="F19" s="142">
        <f t="shared" si="8"/>
        <v>4002.635397729051</v>
      </c>
      <c r="G19" s="142">
        <f t="shared" si="8"/>
        <v>4098.852336570686</v>
      </c>
      <c r="H19" s="142">
        <f t="shared" si="8"/>
        <v>4196.9635581058164</v>
      </c>
      <c r="I19" s="142">
        <f t="shared" si="8"/>
        <v>4296.9485398088791</v>
      </c>
      <c r="J19" s="142">
        <f t="shared" si="8"/>
        <v>4398.7772316682685</v>
      </c>
      <c r="K19" s="142">
        <f t="shared" si="8"/>
        <v>4502.4086208821</v>
      </c>
      <c r="L19" s="142">
        <f t="shared" si="8"/>
        <v>4607.7891016939966</v>
      </c>
      <c r="M19" s="142">
        <f t="shared" si="8"/>
        <v>4714.8506243851543</v>
      </c>
      <c r="N19" s="142">
        <f t="shared" si="8"/>
        <v>4823.5085939856854</v>
      </c>
      <c r="O19" s="142">
        <f t="shared" si="8"/>
        <v>4933.6594853562283</v>
      </c>
      <c r="P19" s="142">
        <f t="shared" si="8"/>
        <v>5045.1781368592901</v>
      </c>
      <c r="Q19" s="142">
        <f t="shared" si="8"/>
        <v>5157.9146798196653</v>
      </c>
      <c r="R19" s="142">
        <f t="shared" si="8"/>
        <v>5271.691055286401</v>
      </c>
      <c r="S19" s="142">
        <f t="shared" si="8"/>
        <v>5386.297063166613</v>
      </c>
      <c r="T19" s="142">
        <f t="shared" si="8"/>
        <v>5501.4858815037205</v>
      </c>
      <c r="U19" s="142">
        <f t="shared" si="8"/>
        <v>5616.9689854056714</v>
      </c>
      <c r="V19" s="142">
        <f t="shared" si="8"/>
        <v>5732.4103857638274</v>
      </c>
      <c r="W19" s="142">
        <f t="shared" si="8"/>
        <v>5847.4200972945455</v>
      </c>
      <c r="X19" s="142">
        <f t="shared" si="8"/>
        <v>5961.546733417892</v>
      </c>
      <c r="Y19" s="142">
        <f t="shared" si="8"/>
        <v>6074.2691118743578</v>
      </c>
      <c r="Z19" s="142">
        <f t="shared" si="8"/>
        <v>6184.9867395588944</v>
      </c>
      <c r="AA19" s="142">
        <f t="shared" si="8"/>
        <v>6293.0090275819275</v>
      </c>
      <c r="AB19" s="142">
        <f t="shared" si="8"/>
        <v>6397.543067777322</v>
      </c>
      <c r="AC19" s="142">
        <f t="shared" si="8"/>
        <v>6497.6797794594067</v>
      </c>
      <c r="AD19" s="142">
        <f t="shared" si="8"/>
        <v>6592.3782098361007</v>
      </c>
      <c r="AE19" s="142">
        <f t="shared" si="8"/>
        <v>6680.4477427175461</v>
      </c>
      <c r="AF19" s="142">
        <f t="shared" si="8"/>
        <v>6760.5279375715891</v>
      </c>
      <c r="AG19" s="142">
        <f t="shared" si="8"/>
        <v>6831.0656840615629</v>
      </c>
      <c r="AH19" s="142">
        <f t="shared" si="8"/>
        <v>6890.2893153833938</v>
      </c>
      <c r="AI19" s="142">
        <f t="shared" si="8"/>
        <v>6936.1792763470276</v>
      </c>
      <c r="AJ19" s="142">
        <f t="shared" si="8"/>
        <v>6966.434888484021</v>
      </c>
      <c r="AK19" s="142">
        <f t="shared" si="8"/>
        <v>6978.4366936733841</v>
      </c>
      <c r="AL19" s="148">
        <f t="shared" si="8"/>
        <v>6969.203788915016</v>
      </c>
    </row>
    <row r="20" spans="1:38" s="143" customFormat="1">
      <c r="B20" s="152" t="s">
        <v>59</v>
      </c>
      <c r="C20" s="144">
        <v>15000</v>
      </c>
      <c r="D20" s="144">
        <f t="shared" ref="D20:AL20" si="9">C20+C20*$C9</f>
        <v>15375</v>
      </c>
      <c r="E20" s="144">
        <f t="shared" si="9"/>
        <v>15759.375</v>
      </c>
      <c r="F20" s="144">
        <f t="shared" si="9"/>
        <v>16153.359375</v>
      </c>
      <c r="G20" s="144">
        <f t="shared" si="9"/>
        <v>16557.193359375</v>
      </c>
      <c r="H20" s="144">
        <f t="shared" si="9"/>
        <v>16971.123193359374</v>
      </c>
      <c r="I20" s="144">
        <f t="shared" si="9"/>
        <v>17395.401273193358</v>
      </c>
      <c r="J20" s="144">
        <f t="shared" si="9"/>
        <v>17830.286305023194</v>
      </c>
      <c r="K20" s="144">
        <f t="shared" si="9"/>
        <v>18276.043462648773</v>
      </c>
      <c r="L20" s="144">
        <f t="shared" si="9"/>
        <v>18732.944549214993</v>
      </c>
      <c r="M20" s="144">
        <f t="shared" si="9"/>
        <v>19201.268162945369</v>
      </c>
      <c r="N20" s="144">
        <f t="shared" si="9"/>
        <v>19681.299867019003</v>
      </c>
      <c r="O20" s="144">
        <f t="shared" si="9"/>
        <v>20173.332363694477</v>
      </c>
      <c r="P20" s="144">
        <f t="shared" si="9"/>
        <v>20677.665672786839</v>
      </c>
      <c r="Q20" s="144">
        <f t="shared" si="9"/>
        <v>21194.60731460651</v>
      </c>
      <c r="R20" s="144">
        <f t="shared" si="9"/>
        <v>21724.472497471674</v>
      </c>
      <c r="S20" s="144">
        <f t="shared" si="9"/>
        <v>22267.584309908467</v>
      </c>
      <c r="T20" s="144">
        <f t="shared" si="9"/>
        <v>22824.273917656177</v>
      </c>
      <c r="U20" s="144">
        <f t="shared" si="9"/>
        <v>23394.880765597583</v>
      </c>
      <c r="V20" s="144">
        <f t="shared" si="9"/>
        <v>23979.752784737524</v>
      </c>
      <c r="W20" s="144">
        <f t="shared" si="9"/>
        <v>24579.246604355962</v>
      </c>
      <c r="X20" s="144">
        <f t="shared" si="9"/>
        <v>25193.727769464862</v>
      </c>
      <c r="Y20" s="144">
        <f t="shared" si="9"/>
        <v>25823.570963701484</v>
      </c>
      <c r="Z20" s="144">
        <f t="shared" si="9"/>
        <v>26469.160237794022</v>
      </c>
      <c r="AA20" s="144">
        <f t="shared" si="9"/>
        <v>27130.889243738871</v>
      </c>
      <c r="AB20" s="144">
        <f t="shared" si="9"/>
        <v>27809.161474832345</v>
      </c>
      <c r="AC20" s="144">
        <f t="shared" si="9"/>
        <v>28504.390511703154</v>
      </c>
      <c r="AD20" s="144">
        <f t="shared" si="9"/>
        <v>29217.000274495731</v>
      </c>
      <c r="AE20" s="144">
        <f t="shared" si="9"/>
        <v>29947.425281358126</v>
      </c>
      <c r="AF20" s="144">
        <f t="shared" si="9"/>
        <v>30696.11091339208</v>
      </c>
      <c r="AG20" s="144">
        <f t="shared" si="9"/>
        <v>31463.513686226881</v>
      </c>
      <c r="AH20" s="144">
        <f t="shared" si="9"/>
        <v>32250.101528382555</v>
      </c>
      <c r="AI20" s="144">
        <f t="shared" si="9"/>
        <v>33056.354066592117</v>
      </c>
      <c r="AJ20" s="144">
        <f t="shared" si="9"/>
        <v>33882.762918256922</v>
      </c>
      <c r="AK20" s="144">
        <f t="shared" si="9"/>
        <v>34729.831991213345</v>
      </c>
      <c r="AL20" s="153">
        <f t="shared" si="9"/>
        <v>35598.077790993681</v>
      </c>
    </row>
    <row r="21" spans="1:38" s="93" customFormat="1">
      <c r="B21" s="154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55"/>
    </row>
    <row r="22" spans="1:38" s="143" customFormat="1" ht="15" customHeight="1">
      <c r="B22" s="156" t="s">
        <v>116</v>
      </c>
      <c r="C22" s="145">
        <f t="shared" ref="C22:AL22" si="10">SUM(C23:C25)</f>
        <v>1</v>
      </c>
      <c r="D22" s="145">
        <f t="shared" si="10"/>
        <v>1</v>
      </c>
      <c r="E22" s="145">
        <f t="shared" si="10"/>
        <v>1</v>
      </c>
      <c r="F22" s="145">
        <f t="shared" si="10"/>
        <v>1</v>
      </c>
      <c r="G22" s="145">
        <f t="shared" si="10"/>
        <v>0.99999999999999989</v>
      </c>
      <c r="H22" s="145">
        <f t="shared" si="10"/>
        <v>1</v>
      </c>
      <c r="I22" s="145">
        <f t="shared" si="10"/>
        <v>1</v>
      </c>
      <c r="J22" s="145">
        <f t="shared" si="10"/>
        <v>0.99999999999999989</v>
      </c>
      <c r="K22" s="145">
        <f t="shared" si="10"/>
        <v>1</v>
      </c>
      <c r="L22" s="145">
        <f t="shared" si="10"/>
        <v>1</v>
      </c>
      <c r="M22" s="145">
        <f t="shared" si="10"/>
        <v>1</v>
      </c>
      <c r="N22" s="145">
        <f t="shared" si="10"/>
        <v>1</v>
      </c>
      <c r="O22" s="145">
        <f t="shared" si="10"/>
        <v>1</v>
      </c>
      <c r="P22" s="145">
        <f t="shared" si="10"/>
        <v>1</v>
      </c>
      <c r="Q22" s="145">
        <f t="shared" si="10"/>
        <v>1</v>
      </c>
      <c r="R22" s="145">
        <f t="shared" si="10"/>
        <v>1</v>
      </c>
      <c r="S22" s="145">
        <f t="shared" si="10"/>
        <v>1</v>
      </c>
      <c r="T22" s="145">
        <f t="shared" si="10"/>
        <v>0.99999999999999989</v>
      </c>
      <c r="U22" s="145">
        <f t="shared" si="10"/>
        <v>1</v>
      </c>
      <c r="V22" s="145">
        <f t="shared" si="10"/>
        <v>1</v>
      </c>
      <c r="W22" s="145">
        <f t="shared" si="10"/>
        <v>1</v>
      </c>
      <c r="X22" s="145">
        <f t="shared" si="10"/>
        <v>1</v>
      </c>
      <c r="Y22" s="145">
        <f t="shared" si="10"/>
        <v>1</v>
      </c>
      <c r="Z22" s="145">
        <f t="shared" si="10"/>
        <v>1</v>
      </c>
      <c r="AA22" s="145">
        <f t="shared" si="10"/>
        <v>1</v>
      </c>
      <c r="AB22" s="145">
        <f t="shared" si="10"/>
        <v>1</v>
      </c>
      <c r="AC22" s="145">
        <f t="shared" si="10"/>
        <v>1</v>
      </c>
      <c r="AD22" s="145">
        <f t="shared" si="10"/>
        <v>1</v>
      </c>
      <c r="AE22" s="145">
        <f t="shared" si="10"/>
        <v>1</v>
      </c>
      <c r="AF22" s="145">
        <f t="shared" si="10"/>
        <v>1</v>
      </c>
      <c r="AG22" s="145">
        <f t="shared" si="10"/>
        <v>1</v>
      </c>
      <c r="AH22" s="145">
        <f t="shared" si="10"/>
        <v>1</v>
      </c>
      <c r="AI22" s="145">
        <f t="shared" si="10"/>
        <v>1</v>
      </c>
      <c r="AJ22" s="145">
        <f t="shared" si="10"/>
        <v>1</v>
      </c>
      <c r="AK22" s="145">
        <f t="shared" si="10"/>
        <v>1</v>
      </c>
      <c r="AL22" s="157">
        <f t="shared" si="10"/>
        <v>1</v>
      </c>
    </row>
    <row r="23" spans="1:38" s="93" customFormat="1" ht="15" customHeight="1">
      <c r="B23" s="158" t="s">
        <v>117</v>
      </c>
      <c r="C23" s="111">
        <v>0</v>
      </c>
      <c r="D23" s="111">
        <v>0</v>
      </c>
      <c r="E23" s="111">
        <v>0</v>
      </c>
      <c r="F23" s="112">
        <f t="shared" ref="F23:AL23" si="11">EXP(F1)/250</f>
        <v>4.4206836723025911E-3</v>
      </c>
      <c r="G23" s="112">
        <f t="shared" si="11"/>
        <v>4.885611032640679E-3</v>
      </c>
      <c r="H23" s="112">
        <f t="shared" si="11"/>
        <v>5.399435230304013E-3</v>
      </c>
      <c r="I23" s="112">
        <f t="shared" si="11"/>
        <v>5.9672987905650815E-3</v>
      </c>
      <c r="J23" s="112">
        <f t="shared" si="11"/>
        <v>6.594885082800513E-3</v>
      </c>
      <c r="K23" s="112">
        <f t="shared" si="11"/>
        <v>7.2884752015620353E-3</v>
      </c>
      <c r="L23" s="112">
        <f t="shared" si="11"/>
        <v>8.0550108298819059E-3</v>
      </c>
      <c r="M23" s="112">
        <f t="shared" si="11"/>
        <v>8.9021637139698722E-3</v>
      </c>
      <c r="N23" s="112">
        <f t="shared" si="11"/>
        <v>9.8384124446277994E-3</v>
      </c>
      <c r="O23" s="112">
        <f t="shared" si="11"/>
        <v>1.0873127313836181E-2</v>
      </c>
      <c r="P23" s="112">
        <f t="shared" si="11"/>
        <v>1.2016664095785733E-2</v>
      </c>
      <c r="Q23" s="112">
        <f t="shared" si="11"/>
        <v>1.328046769094619E-2</v>
      </c>
      <c r="R23" s="112">
        <f t="shared" si="11"/>
        <v>1.4677186670476978E-2</v>
      </c>
      <c r="S23" s="112">
        <f t="shared" si="11"/>
        <v>1.6220799867378698E-2</v>
      </c>
      <c r="T23" s="112">
        <f t="shared" si="11"/>
        <v>1.7926756281352259E-2</v>
      </c>
      <c r="U23" s="112">
        <f t="shared" si="11"/>
        <v>1.981212969758046E-2</v>
      </c>
      <c r="V23" s="112">
        <f t="shared" si="11"/>
        <v>2.18957895669088E-2</v>
      </c>
      <c r="W23" s="112">
        <f t="shared" si="11"/>
        <v>2.4198589857651786E-2</v>
      </c>
      <c r="X23" s="112">
        <f t="shared" si="11"/>
        <v>2.6743577769117073E-2</v>
      </c>
      <c r="Y23" s="112">
        <f t="shared" si="11"/>
        <v>2.9556224395722603E-2</v>
      </c>
      <c r="Z23" s="112">
        <f t="shared" si="11"/>
        <v>3.2664679650270603E-2</v>
      </c>
      <c r="AA23" s="112">
        <f t="shared" si="11"/>
        <v>3.6100053997736491E-2</v>
      </c>
      <c r="AB23" s="112">
        <f t="shared" si="11"/>
        <v>3.9896729819258875E-2</v>
      </c>
      <c r="AC23" s="112">
        <f t="shared" si="11"/>
        <v>4.4092705522566403E-2</v>
      </c>
      <c r="AD23" s="112">
        <f t="shared" si="11"/>
        <v>4.872997584281389E-2</v>
      </c>
      <c r="AE23" s="112">
        <f t="shared" si="11"/>
        <v>5.3854952140006768E-2</v>
      </c>
      <c r="AF23" s="112">
        <f t="shared" si="11"/>
        <v>5.9518926899491349E-2</v>
      </c>
      <c r="AG23" s="112">
        <f t="shared" si="11"/>
        <v>6.577858708438819E-2</v>
      </c>
      <c r="AH23" s="112">
        <f t="shared" si="11"/>
        <v>7.2696581477772235E-2</v>
      </c>
      <c r="AI23" s="112">
        <f t="shared" si="11"/>
        <v>8.0342147692750665E-2</v>
      </c>
      <c r="AJ23" s="112">
        <f t="shared" si="11"/>
        <v>8.8791805125766537E-2</v>
      </c>
      <c r="AK23" s="112">
        <f t="shared" si="11"/>
        <v>9.8130120788437414E-2</v>
      </c>
      <c r="AL23" s="159">
        <f t="shared" si="11"/>
        <v>0.10845055568263152</v>
      </c>
    </row>
    <row r="24" spans="1:38" s="93" customFormat="1" ht="15" customHeight="1">
      <c r="B24" s="160" t="s">
        <v>118</v>
      </c>
      <c r="C24" s="146">
        <v>0.75</v>
      </c>
      <c r="D24" s="146">
        <v>0.75</v>
      </c>
      <c r="E24" s="146">
        <v>0.75</v>
      </c>
      <c r="F24" s="146">
        <f t="shared" ref="F24:AL24" si="12">$E24-F23/2</f>
        <v>0.74778965816384868</v>
      </c>
      <c r="G24" s="146">
        <f t="shared" si="12"/>
        <v>0.74755719448367963</v>
      </c>
      <c r="H24" s="146">
        <f t="shared" si="12"/>
        <v>0.74730028238484802</v>
      </c>
      <c r="I24" s="146">
        <f t="shared" si="12"/>
        <v>0.74701635060471749</v>
      </c>
      <c r="J24" s="146">
        <f t="shared" si="12"/>
        <v>0.7467025574585997</v>
      </c>
      <c r="K24" s="146">
        <f t="shared" si="12"/>
        <v>0.74635576239921897</v>
      </c>
      <c r="L24" s="146">
        <f t="shared" si="12"/>
        <v>0.7459724945850591</v>
      </c>
      <c r="M24" s="146">
        <f t="shared" si="12"/>
        <v>0.74554891814301505</v>
      </c>
      <c r="N24" s="146">
        <f t="shared" si="12"/>
        <v>0.7450807937776861</v>
      </c>
      <c r="O24" s="146">
        <f t="shared" si="12"/>
        <v>0.74456343634308186</v>
      </c>
      <c r="P24" s="146">
        <f t="shared" si="12"/>
        <v>0.74399166795210714</v>
      </c>
      <c r="Q24" s="146">
        <f t="shared" si="12"/>
        <v>0.74335976615452692</v>
      </c>
      <c r="R24" s="146">
        <f t="shared" si="12"/>
        <v>0.74266140666476155</v>
      </c>
      <c r="S24" s="146">
        <f t="shared" si="12"/>
        <v>0.74188960006631066</v>
      </c>
      <c r="T24" s="146">
        <f t="shared" si="12"/>
        <v>0.74103662185932384</v>
      </c>
      <c r="U24" s="146">
        <f t="shared" si="12"/>
        <v>0.7400939351512098</v>
      </c>
      <c r="V24" s="146">
        <f t="shared" si="12"/>
        <v>0.73905210521654563</v>
      </c>
      <c r="W24" s="146">
        <f t="shared" si="12"/>
        <v>0.73790070507117411</v>
      </c>
      <c r="X24" s="146">
        <f t="shared" si="12"/>
        <v>0.73662821111544141</v>
      </c>
      <c r="Y24" s="146">
        <f t="shared" si="12"/>
        <v>0.73522188780213871</v>
      </c>
      <c r="Z24" s="146">
        <f t="shared" si="12"/>
        <v>0.73366766017486473</v>
      </c>
      <c r="AA24" s="146">
        <f t="shared" si="12"/>
        <v>0.73194997300113174</v>
      </c>
      <c r="AB24" s="146">
        <f t="shared" si="12"/>
        <v>0.73005163509037052</v>
      </c>
      <c r="AC24" s="146">
        <f t="shared" si="12"/>
        <v>0.72795364723871681</v>
      </c>
      <c r="AD24" s="146">
        <f t="shared" si="12"/>
        <v>0.72563501207859304</v>
      </c>
      <c r="AE24" s="146">
        <f t="shared" si="12"/>
        <v>0.72307252392999666</v>
      </c>
      <c r="AF24" s="146">
        <f t="shared" si="12"/>
        <v>0.72024053655025433</v>
      </c>
      <c r="AG24" s="146">
        <f t="shared" si="12"/>
        <v>0.71711070645780595</v>
      </c>
      <c r="AH24" s="146">
        <f t="shared" si="12"/>
        <v>0.71365170926111388</v>
      </c>
      <c r="AI24" s="146">
        <f t="shared" si="12"/>
        <v>0.7098289261536247</v>
      </c>
      <c r="AJ24" s="146">
        <f t="shared" si="12"/>
        <v>0.70560409743711672</v>
      </c>
      <c r="AK24" s="146">
        <f t="shared" si="12"/>
        <v>0.70093493960578135</v>
      </c>
      <c r="AL24" s="161">
        <f t="shared" si="12"/>
        <v>0.69577472215868419</v>
      </c>
    </row>
    <row r="25" spans="1:38" s="93" customFormat="1" ht="15" customHeight="1">
      <c r="B25" s="162" t="s">
        <v>119</v>
      </c>
      <c r="C25" s="163">
        <v>0.25</v>
      </c>
      <c r="D25" s="163">
        <v>0.25</v>
      </c>
      <c r="E25" s="163">
        <v>0.25</v>
      </c>
      <c r="F25" s="163">
        <f t="shared" ref="F25:AL25" si="13">$E25-F23/2</f>
        <v>0.24778965816384871</v>
      </c>
      <c r="G25" s="163">
        <f t="shared" si="13"/>
        <v>0.24755719448367966</v>
      </c>
      <c r="H25" s="163">
        <f t="shared" si="13"/>
        <v>0.247300282384848</v>
      </c>
      <c r="I25" s="163">
        <f t="shared" si="13"/>
        <v>0.24701635060471747</v>
      </c>
      <c r="J25" s="163">
        <f t="shared" si="13"/>
        <v>0.24670255745859973</v>
      </c>
      <c r="K25" s="163">
        <f t="shared" si="13"/>
        <v>0.24635576239921897</v>
      </c>
      <c r="L25" s="163">
        <f t="shared" si="13"/>
        <v>0.24597249458505904</v>
      </c>
      <c r="M25" s="163">
        <f t="shared" si="13"/>
        <v>0.24554891814301508</v>
      </c>
      <c r="N25" s="163">
        <f t="shared" si="13"/>
        <v>0.2450807937776861</v>
      </c>
      <c r="O25" s="163">
        <f t="shared" si="13"/>
        <v>0.24456343634308192</v>
      </c>
      <c r="P25" s="163">
        <f t="shared" si="13"/>
        <v>0.24399166795210714</v>
      </c>
      <c r="Q25" s="163">
        <f t="shared" si="13"/>
        <v>0.2433597661545269</v>
      </c>
      <c r="R25" s="163">
        <f t="shared" si="13"/>
        <v>0.24266140666476152</v>
      </c>
      <c r="S25" s="163">
        <f t="shared" si="13"/>
        <v>0.24188960006631066</v>
      </c>
      <c r="T25" s="163">
        <f t="shared" si="13"/>
        <v>0.24103662185932387</v>
      </c>
      <c r="U25" s="163">
        <f t="shared" si="13"/>
        <v>0.24009393515120978</v>
      </c>
      <c r="V25" s="163">
        <f t="shared" si="13"/>
        <v>0.2390521052165456</v>
      </c>
      <c r="W25" s="163">
        <f t="shared" si="13"/>
        <v>0.23790070507117411</v>
      </c>
      <c r="X25" s="163">
        <f t="shared" si="13"/>
        <v>0.23662821111544147</v>
      </c>
      <c r="Y25" s="163">
        <f t="shared" si="13"/>
        <v>0.23522188780213871</v>
      </c>
      <c r="Z25" s="163">
        <f t="shared" si="13"/>
        <v>0.23366766017486471</v>
      </c>
      <c r="AA25" s="163">
        <f t="shared" si="13"/>
        <v>0.23194997300113177</v>
      </c>
      <c r="AB25" s="163">
        <f t="shared" si="13"/>
        <v>0.23005163509037058</v>
      </c>
      <c r="AC25" s="163">
        <f t="shared" si="13"/>
        <v>0.22795364723871681</v>
      </c>
      <c r="AD25" s="163">
        <f t="shared" si="13"/>
        <v>0.22563501207859304</v>
      </c>
      <c r="AE25" s="163">
        <f t="shared" si="13"/>
        <v>0.2230725239299966</v>
      </c>
      <c r="AF25" s="163">
        <f t="shared" si="13"/>
        <v>0.22024053655025433</v>
      </c>
      <c r="AG25" s="163">
        <f t="shared" si="13"/>
        <v>0.21711070645780589</v>
      </c>
      <c r="AH25" s="163">
        <f t="shared" si="13"/>
        <v>0.21365170926111388</v>
      </c>
      <c r="AI25" s="163">
        <f t="shared" si="13"/>
        <v>0.20982892615362467</v>
      </c>
      <c r="AJ25" s="163">
        <f t="shared" si="13"/>
        <v>0.20560409743711672</v>
      </c>
      <c r="AK25" s="163">
        <f t="shared" si="13"/>
        <v>0.20093493960578129</v>
      </c>
      <c r="AL25" s="164">
        <f t="shared" si="13"/>
        <v>0.19577472215868424</v>
      </c>
    </row>
    <row r="26" spans="1:38" s="93" customFormat="1">
      <c r="A26" s="120"/>
      <c r="B26" s="120"/>
    </row>
    <row r="27" spans="1:38" s="93" customFormat="1"/>
  </sheetData>
  <mergeCells count="18">
    <mergeCell ref="AG13:AI13"/>
    <mergeCell ref="AJ13:AL13"/>
    <mergeCell ref="R13:T13"/>
    <mergeCell ref="U13:W13"/>
    <mergeCell ref="X13:Z13"/>
    <mergeCell ref="AA13:AC13"/>
    <mergeCell ref="AD13:AF13"/>
    <mergeCell ref="C13:E13"/>
    <mergeCell ref="F13:H13"/>
    <mergeCell ref="I13:K13"/>
    <mergeCell ref="L13:N13"/>
    <mergeCell ref="O13:Q13"/>
    <mergeCell ref="C8:E8"/>
    <mergeCell ref="C9:E9"/>
    <mergeCell ref="B11:AL11"/>
    <mergeCell ref="C12:N12"/>
    <mergeCell ref="O12:Z12"/>
    <mergeCell ref="AA12:AL1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4"/>
  </sheetPr>
  <dimension ref="B1:CT38"/>
  <sheetViews>
    <sheetView showGridLines="0" workbookViewId="0">
      <selection activeCell="D20" sqref="D20"/>
    </sheetView>
  </sheetViews>
  <sheetFormatPr baseColWidth="10" defaultRowHeight="15"/>
  <cols>
    <col min="1" max="1" width="1.42578125" style="98" customWidth="1"/>
    <col min="2" max="2" width="22.140625" style="98" customWidth="1"/>
    <col min="3" max="3" width="14.28515625" style="99" customWidth="1"/>
    <col min="4" max="4" width="14.28515625" style="98" customWidth="1"/>
    <col min="5" max="5" width="14.28515625" style="106" customWidth="1"/>
    <col min="6" max="6" width="14.140625" style="98" bestFit="1" customWidth="1"/>
    <col min="7" max="7" width="17.7109375" style="98" bestFit="1" customWidth="1"/>
    <col min="8" max="8" width="13.28515625" style="98" bestFit="1" customWidth="1"/>
    <col min="9" max="9" width="13.42578125" style="98" bestFit="1" customWidth="1"/>
    <col min="10" max="10" width="9.42578125" style="98" bestFit="1" customWidth="1"/>
    <col min="11" max="11" width="9.5703125" style="98" bestFit="1" customWidth="1"/>
    <col min="12" max="12" width="9.140625" style="98" bestFit="1" customWidth="1"/>
    <col min="13" max="13" width="11.5703125" style="98" bestFit="1" customWidth="1"/>
    <col min="14" max="14" width="10.85546875" style="98" bestFit="1" customWidth="1"/>
    <col min="15" max="15" width="14.85546875" style="98" bestFit="1" customWidth="1"/>
    <col min="16" max="16" width="16.7109375" style="98" customWidth="1"/>
    <col min="17" max="16384" width="11.42578125" style="98"/>
  </cols>
  <sheetData>
    <row r="1" spans="2:98" ht="105" customHeight="1"/>
    <row r="2" spans="2:98" s="100" customFormat="1">
      <c r="B2" s="185"/>
      <c r="C2" s="186">
        <v>2013</v>
      </c>
      <c r="D2" s="186">
        <v>2014</v>
      </c>
      <c r="E2" s="187">
        <v>2015</v>
      </c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  <c r="BX2" s="101"/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1"/>
      <c r="CJ2" s="101"/>
      <c r="CK2" s="101"/>
      <c r="CL2" s="101"/>
      <c r="CM2" s="101"/>
      <c r="CN2" s="101"/>
      <c r="CO2" s="101"/>
      <c r="CP2" s="101"/>
      <c r="CQ2" s="101"/>
      <c r="CR2" s="101"/>
      <c r="CS2" s="101"/>
      <c r="CT2" s="101"/>
    </row>
    <row r="3" spans="2:98">
      <c r="B3" s="172" t="s">
        <v>60</v>
      </c>
      <c r="C3" s="34">
        <f>SUM('Prévision de vente'!C16:N16)*Recette!E7</f>
        <v>264130.14913021907</v>
      </c>
      <c r="D3" s="34">
        <f>SUM('Prévision de vente'!O16:Z16)*Recette!E7</f>
        <v>1066558.4402425105</v>
      </c>
      <c r="E3" s="173">
        <f>SUM('Prévision de vente'!AA16:AL16)*Recette!E7</f>
        <v>3819924.421086486</v>
      </c>
      <c r="F3" s="107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</row>
    <row r="4" spans="2:98">
      <c r="B4" s="175" t="s">
        <v>61</v>
      </c>
      <c r="C4" s="176">
        <f>SUM('Prévision de vente'!C17:N17)*Recette!E8</f>
        <v>51540.704159293884</v>
      </c>
      <c r="D4" s="176">
        <f>SUM('Prévision de vente'!O17:Z17)*Recette!E8</f>
        <v>463644.25930449856</v>
      </c>
      <c r="E4" s="177">
        <f>SUM('Prévision de vente'!AA17:AL17)*Recette!E8</f>
        <v>2715357.8607129171</v>
      </c>
      <c r="F4" s="107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</row>
    <row r="5" spans="2:98" s="171" customFormat="1">
      <c r="B5" s="74" t="s">
        <v>128</v>
      </c>
      <c r="C5" s="183">
        <f>SUM(C3:C4)</f>
        <v>315670.85328951298</v>
      </c>
      <c r="D5" s="183">
        <f t="shared" ref="D5:E5" si="0">SUM(D3:D4)</f>
        <v>1530202.6995470091</v>
      </c>
      <c r="E5" s="184">
        <f t="shared" si="0"/>
        <v>6535282.281799403</v>
      </c>
      <c r="F5" s="169"/>
      <c r="G5" s="97"/>
      <c r="H5" s="97"/>
      <c r="I5" s="97"/>
      <c r="J5" s="97"/>
      <c r="K5" s="97"/>
      <c r="L5" s="97"/>
      <c r="M5" s="97"/>
      <c r="N5" s="97"/>
      <c r="O5" s="97"/>
      <c r="P5" s="97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70"/>
      <c r="BQ5" s="170"/>
      <c r="BR5" s="170"/>
      <c r="BS5" s="170"/>
      <c r="BT5" s="170"/>
      <c r="BU5" s="170"/>
      <c r="BV5" s="170"/>
    </row>
    <row r="6" spans="2:98">
      <c r="B6" s="172" t="s">
        <v>113</v>
      </c>
      <c r="C6" s="102">
        <f>C3/Recette!$E7*Recette!$C7+C4/Recette!$E8*Recette!$C8</f>
        <v>120377.9751261716</v>
      </c>
      <c r="D6" s="102">
        <f>D3/Recette!$E7*Recette!$C7+D4/Recette!$E8*Recette!$C8</f>
        <v>559093.16446971812</v>
      </c>
      <c r="E6" s="174">
        <f>E3/Recette!$E7*Recette!$C7+E4/Recette!$E8*Recette!$C8</f>
        <v>2303786.3000668567</v>
      </c>
      <c r="F6" s="107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98">
      <c r="B7" s="74" t="s">
        <v>127</v>
      </c>
      <c r="C7" s="183">
        <f>C5-C6</f>
        <v>195292.87816334137</v>
      </c>
      <c r="D7" s="183">
        <f t="shared" ref="D7:E7" si="1">D5-D6</f>
        <v>971109.53507729096</v>
      </c>
      <c r="E7" s="184">
        <f t="shared" si="1"/>
        <v>4231495.9817325464</v>
      </c>
      <c r="F7" s="107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2:98">
      <c r="B8" s="172" t="s">
        <v>122</v>
      </c>
      <c r="C8" s="102">
        <f>Dépense!$C4*12</f>
        <v>7440</v>
      </c>
      <c r="D8" s="102">
        <f>Dépense!$C4*12</f>
        <v>7440</v>
      </c>
      <c r="E8" s="174">
        <f>Dépense!$C4*12</f>
        <v>7440</v>
      </c>
      <c r="F8" s="107"/>
      <c r="G8" s="103"/>
      <c r="H8" s="103"/>
      <c r="I8" s="103"/>
      <c r="J8" s="103"/>
      <c r="K8" s="103"/>
      <c r="L8" s="103"/>
      <c r="M8" s="103"/>
      <c r="N8" s="103"/>
      <c r="O8" s="103"/>
      <c r="P8" s="103"/>
    </row>
    <row r="9" spans="2:98">
      <c r="B9" s="175" t="s">
        <v>123</v>
      </c>
      <c r="C9" s="178">
        <f>Dépense!$C15*12</f>
        <v>179.88</v>
      </c>
      <c r="D9" s="178">
        <f>Dépense!$C15*12</f>
        <v>179.88</v>
      </c>
      <c r="E9" s="179">
        <f>Dépense!$C15*12</f>
        <v>179.88</v>
      </c>
      <c r="F9" s="107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2:98">
      <c r="B10" s="172" t="s">
        <v>124</v>
      </c>
      <c r="C10" s="102">
        <f>Dépense!$C19*12</f>
        <v>86400</v>
      </c>
      <c r="D10" s="102">
        <f>Dépense!$C19*12</f>
        <v>86400</v>
      </c>
      <c r="E10" s="174">
        <f>Dépense!$C19*12</f>
        <v>86400</v>
      </c>
      <c r="F10" s="107"/>
      <c r="G10" s="103"/>
      <c r="H10" s="103"/>
      <c r="I10" s="103"/>
      <c r="J10" s="103"/>
      <c r="K10" s="103"/>
      <c r="L10" s="103"/>
      <c r="M10" s="103"/>
      <c r="N10" s="103"/>
      <c r="O10" s="103"/>
      <c r="P10" s="103"/>
    </row>
    <row r="11" spans="2:98">
      <c r="B11" s="175" t="s">
        <v>119</v>
      </c>
      <c r="C11" s="178">
        <f>Dépense!$C24*12</f>
        <v>1200</v>
      </c>
      <c r="D11" s="178">
        <f>Dépense!$C24*12</f>
        <v>1200</v>
      </c>
      <c r="E11" s="179">
        <f>Dépense!$C24*12</f>
        <v>1200</v>
      </c>
      <c r="F11" s="107"/>
      <c r="G11" s="103"/>
      <c r="H11" s="103"/>
      <c r="I11" s="103"/>
      <c r="J11" s="103"/>
      <c r="K11" s="103"/>
      <c r="L11" s="103"/>
      <c r="M11" s="103"/>
      <c r="N11" s="103"/>
      <c r="O11" s="103"/>
      <c r="P11" s="103"/>
    </row>
    <row r="12" spans="2:98">
      <c r="B12" s="172" t="s">
        <v>125</v>
      </c>
      <c r="C12" s="102">
        <f>Dépense!$C27*12</f>
        <v>1940.8217942666665</v>
      </c>
      <c r="D12" s="102">
        <f>Dépense!$C27*12</f>
        <v>1940.8217942666665</v>
      </c>
      <c r="E12" s="174">
        <f>Dépense!$C27*12</f>
        <v>1940.8217942666665</v>
      </c>
      <c r="F12" s="107"/>
      <c r="G12" s="103"/>
      <c r="H12" s="103"/>
      <c r="I12" s="103"/>
      <c r="J12" s="103"/>
      <c r="K12" s="103"/>
      <c r="L12" s="103"/>
      <c r="M12" s="103"/>
      <c r="N12" s="103"/>
      <c r="O12" s="103"/>
      <c r="P12" s="103"/>
    </row>
    <row r="13" spans="2:98" s="171" customFormat="1">
      <c r="B13" s="180" t="s">
        <v>126</v>
      </c>
      <c r="C13" s="181">
        <f>C7-SUM(C8:C12)</f>
        <v>98132.176369074703</v>
      </c>
      <c r="D13" s="181">
        <f t="shared" ref="D13:E13" si="2">D7-SUM(D8:D12)</f>
        <v>873948.83328302426</v>
      </c>
      <c r="E13" s="182">
        <f t="shared" si="2"/>
        <v>4134335.2799382797</v>
      </c>
      <c r="F13" s="169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2:98">
      <c r="B14" s="103"/>
      <c r="C14" s="103"/>
      <c r="D14" s="104"/>
      <c r="E14" s="107"/>
      <c r="F14" s="107"/>
      <c r="G14" s="103"/>
      <c r="H14" s="103"/>
      <c r="I14" s="103"/>
      <c r="J14" s="103"/>
      <c r="K14" s="103"/>
      <c r="L14" s="103"/>
      <c r="M14" s="103"/>
      <c r="N14" s="103"/>
      <c r="O14" s="103"/>
      <c r="P14" s="103"/>
    </row>
    <row r="15" spans="2:98">
      <c r="B15" s="103"/>
      <c r="C15" s="103"/>
      <c r="D15" s="104"/>
      <c r="E15" s="107"/>
      <c r="F15" s="107"/>
      <c r="G15" s="103"/>
      <c r="H15" s="103"/>
      <c r="I15" s="103"/>
      <c r="J15" s="103"/>
      <c r="K15" s="103"/>
      <c r="L15" s="103"/>
      <c r="M15" s="103"/>
      <c r="N15" s="103"/>
      <c r="O15" s="103"/>
      <c r="P15" s="103"/>
    </row>
    <row r="16" spans="2:98">
      <c r="B16" s="103"/>
      <c r="C16" s="103"/>
      <c r="D16" s="104"/>
      <c r="E16" s="107"/>
      <c r="F16" s="107"/>
      <c r="G16" s="103"/>
      <c r="H16" s="103"/>
      <c r="I16" s="103"/>
      <c r="J16" s="103"/>
      <c r="K16" s="103"/>
      <c r="L16" s="103"/>
      <c r="M16" s="103"/>
      <c r="N16" s="103"/>
      <c r="O16" s="103"/>
      <c r="P16" s="103"/>
    </row>
    <row r="17" spans="2:16">
      <c r="B17" s="103"/>
      <c r="C17" s="103"/>
      <c r="D17" s="104"/>
      <c r="E17" s="107"/>
      <c r="F17" s="107"/>
      <c r="G17" s="103"/>
      <c r="H17" s="103"/>
      <c r="I17" s="103"/>
      <c r="J17" s="103"/>
      <c r="K17" s="103"/>
      <c r="L17" s="103"/>
      <c r="M17" s="103"/>
      <c r="N17" s="103"/>
      <c r="O17" s="103"/>
      <c r="P17" s="103"/>
    </row>
    <row r="18" spans="2:16">
      <c r="B18" s="103"/>
      <c r="C18" s="103"/>
      <c r="D18" s="104"/>
      <c r="E18" s="107"/>
      <c r="F18" s="107"/>
      <c r="G18" s="103"/>
      <c r="H18" s="103"/>
      <c r="I18" s="103"/>
      <c r="J18" s="103"/>
      <c r="K18" s="103"/>
      <c r="L18" s="103"/>
      <c r="M18" s="103"/>
      <c r="N18" s="103"/>
      <c r="O18" s="103"/>
      <c r="P18" s="103"/>
    </row>
    <row r="19" spans="2:16">
      <c r="B19" s="103"/>
      <c r="C19" s="103"/>
      <c r="D19" s="104"/>
      <c r="E19" s="107"/>
      <c r="F19" s="107"/>
      <c r="G19" s="103"/>
      <c r="H19" s="103"/>
      <c r="I19" s="103"/>
      <c r="J19" s="103"/>
      <c r="K19" s="103"/>
      <c r="L19" s="103"/>
      <c r="M19" s="103"/>
      <c r="N19" s="103"/>
      <c r="O19" s="103"/>
      <c r="P19" s="103"/>
    </row>
    <row r="20" spans="2:16">
      <c r="B20" s="103"/>
      <c r="C20" s="103"/>
      <c r="D20" s="104"/>
      <c r="E20" s="107"/>
      <c r="F20" s="107"/>
      <c r="G20" s="103"/>
      <c r="H20" s="103"/>
      <c r="I20" s="103"/>
      <c r="J20" s="103"/>
      <c r="K20" s="103"/>
      <c r="L20" s="103"/>
      <c r="M20" s="103"/>
      <c r="N20" s="103"/>
      <c r="O20" s="103"/>
      <c r="P20" s="103"/>
    </row>
    <row r="21" spans="2:16">
      <c r="B21" s="103"/>
      <c r="C21" s="103"/>
      <c r="D21" s="104"/>
      <c r="E21" s="107"/>
      <c r="F21" s="107"/>
      <c r="G21" s="103"/>
      <c r="H21" s="103"/>
      <c r="I21" s="103"/>
      <c r="J21" s="103"/>
      <c r="K21" s="103"/>
      <c r="L21" s="103"/>
      <c r="M21" s="103"/>
      <c r="N21" s="103"/>
      <c r="O21" s="103"/>
      <c r="P21" s="103"/>
    </row>
    <row r="22" spans="2:16">
      <c r="B22" s="103"/>
      <c r="C22" s="103"/>
      <c r="D22" s="104"/>
      <c r="E22" s="107"/>
      <c r="F22" s="107"/>
      <c r="G22" s="103"/>
      <c r="H22" s="103"/>
      <c r="I22" s="103"/>
      <c r="J22" s="103"/>
      <c r="K22" s="103"/>
      <c r="L22" s="103"/>
      <c r="M22" s="103"/>
      <c r="N22" s="103"/>
      <c r="O22" s="103"/>
      <c r="P22" s="103"/>
    </row>
    <row r="23" spans="2:16">
      <c r="B23" s="103"/>
      <c r="C23" s="103"/>
      <c r="D23" s="104"/>
      <c r="E23" s="107"/>
      <c r="F23" s="107"/>
      <c r="G23" s="103"/>
      <c r="H23" s="103"/>
      <c r="I23" s="103"/>
      <c r="J23" s="103"/>
      <c r="K23" s="103"/>
      <c r="L23" s="103"/>
      <c r="M23" s="103"/>
      <c r="N23" s="103"/>
      <c r="O23" s="103"/>
      <c r="P23" s="103"/>
    </row>
    <row r="24" spans="2:16">
      <c r="B24" s="103"/>
      <c r="C24" s="103"/>
      <c r="D24" s="104"/>
      <c r="E24" s="107"/>
      <c r="F24" s="107"/>
      <c r="G24" s="103"/>
      <c r="H24" s="103"/>
      <c r="I24" s="103"/>
      <c r="J24" s="103"/>
      <c r="K24" s="103"/>
      <c r="L24" s="103"/>
      <c r="M24" s="103"/>
      <c r="N24" s="103"/>
      <c r="O24" s="103"/>
      <c r="P24" s="103"/>
    </row>
    <row r="25" spans="2:16">
      <c r="B25" s="103"/>
      <c r="C25" s="103"/>
      <c r="D25" s="104"/>
      <c r="E25" s="107"/>
      <c r="F25" s="107"/>
      <c r="G25" s="103"/>
      <c r="H25" s="103"/>
      <c r="I25" s="103"/>
      <c r="J25" s="103"/>
      <c r="K25" s="103"/>
      <c r="L25" s="103"/>
      <c r="M25" s="103"/>
      <c r="N25" s="103"/>
      <c r="O25" s="103"/>
      <c r="P25" s="103"/>
    </row>
    <row r="26" spans="2:16">
      <c r="B26" s="103"/>
      <c r="C26" s="103"/>
      <c r="D26" s="104"/>
      <c r="E26" s="107"/>
      <c r="F26" s="107"/>
      <c r="G26" s="103"/>
      <c r="H26" s="103"/>
      <c r="I26" s="103"/>
      <c r="J26" s="103"/>
      <c r="K26" s="103"/>
      <c r="L26" s="103"/>
      <c r="M26" s="103"/>
      <c r="N26" s="103"/>
      <c r="O26" s="103"/>
      <c r="P26" s="103"/>
    </row>
    <row r="27" spans="2:16">
      <c r="B27" s="103"/>
      <c r="C27" s="103"/>
      <c r="D27" s="104"/>
      <c r="E27" s="107"/>
      <c r="F27" s="107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2:16">
      <c r="B28" s="103"/>
      <c r="C28" s="103"/>
      <c r="D28" s="104"/>
      <c r="E28" s="107"/>
      <c r="F28" s="107"/>
      <c r="G28" s="103"/>
      <c r="H28" s="103"/>
      <c r="I28" s="103"/>
      <c r="J28" s="103"/>
      <c r="K28" s="103"/>
      <c r="L28" s="103"/>
      <c r="M28" s="103"/>
      <c r="N28" s="103"/>
      <c r="O28" s="103"/>
      <c r="P28" s="103"/>
    </row>
    <row r="29" spans="2:16">
      <c r="B29" s="103"/>
      <c r="C29" s="103"/>
      <c r="D29" s="104"/>
      <c r="E29" s="107"/>
      <c r="F29" s="107"/>
      <c r="G29" s="103"/>
      <c r="H29" s="103"/>
      <c r="I29" s="103"/>
      <c r="J29" s="103"/>
      <c r="K29" s="103"/>
      <c r="L29" s="103"/>
      <c r="M29" s="103"/>
      <c r="N29" s="103"/>
      <c r="O29" s="103"/>
      <c r="P29" s="103"/>
    </row>
    <row r="30" spans="2:16">
      <c r="B30" s="103"/>
      <c r="C30" s="103"/>
      <c r="D30" s="104"/>
      <c r="E30" s="107"/>
      <c r="F30" s="107"/>
      <c r="G30" s="103"/>
      <c r="H30" s="103"/>
      <c r="I30" s="103"/>
      <c r="J30" s="103"/>
      <c r="K30" s="103"/>
      <c r="L30" s="103"/>
      <c r="M30" s="103"/>
      <c r="N30" s="103"/>
      <c r="O30" s="103"/>
      <c r="P30" s="103"/>
    </row>
    <row r="31" spans="2:16">
      <c r="B31" s="103"/>
      <c r="C31" s="103"/>
      <c r="D31" s="104"/>
      <c r="E31" s="107"/>
      <c r="F31" s="107"/>
      <c r="G31" s="103"/>
      <c r="H31" s="103"/>
      <c r="I31" s="103"/>
      <c r="J31" s="103"/>
      <c r="K31" s="103"/>
      <c r="L31" s="103"/>
      <c r="M31" s="103"/>
      <c r="N31" s="103"/>
      <c r="O31" s="103"/>
      <c r="P31" s="103"/>
    </row>
    <row r="32" spans="2:16">
      <c r="B32" s="103"/>
      <c r="C32" s="103"/>
      <c r="D32" s="104"/>
      <c r="E32" s="107"/>
      <c r="F32" s="107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2:16">
      <c r="B33" s="103"/>
      <c r="C33" s="103"/>
      <c r="D33" s="104"/>
      <c r="E33" s="107"/>
      <c r="F33" s="107"/>
      <c r="G33" s="103"/>
      <c r="H33" s="103"/>
      <c r="I33" s="103"/>
      <c r="J33" s="103"/>
      <c r="K33" s="103"/>
      <c r="L33" s="103"/>
      <c r="M33" s="103"/>
      <c r="N33" s="103"/>
      <c r="O33" s="103"/>
      <c r="P33" s="103"/>
    </row>
    <row r="34" spans="2:16">
      <c r="B34" s="103"/>
      <c r="C34" s="103"/>
      <c r="D34" s="104"/>
      <c r="E34" s="107"/>
      <c r="F34" s="107"/>
      <c r="G34" s="103"/>
      <c r="H34" s="103"/>
      <c r="I34" s="103"/>
      <c r="J34" s="103"/>
      <c r="K34" s="103"/>
      <c r="L34" s="103"/>
      <c r="M34" s="103"/>
      <c r="N34" s="103"/>
      <c r="O34" s="103"/>
      <c r="P34" s="103"/>
    </row>
    <row r="35" spans="2:16">
      <c r="B35" s="103"/>
      <c r="C35" s="103"/>
      <c r="D35" s="104"/>
      <c r="E35" s="107"/>
      <c r="F35" s="107"/>
      <c r="G35" s="103"/>
      <c r="H35" s="103"/>
      <c r="I35" s="103"/>
      <c r="J35" s="103"/>
      <c r="K35" s="103"/>
      <c r="L35" s="103"/>
      <c r="M35" s="103"/>
      <c r="N35" s="103"/>
      <c r="O35" s="103"/>
      <c r="P35" s="103"/>
    </row>
    <row r="36" spans="2:16">
      <c r="B36" s="103"/>
      <c r="C36" s="103"/>
      <c r="D36" s="104"/>
      <c r="E36" s="107"/>
      <c r="F36" s="107"/>
      <c r="G36" s="103"/>
      <c r="H36" s="103"/>
      <c r="I36" s="103"/>
      <c r="J36" s="103"/>
      <c r="K36" s="103"/>
      <c r="L36" s="103"/>
      <c r="M36" s="103"/>
      <c r="N36" s="103"/>
      <c r="O36" s="103"/>
      <c r="P36" s="103"/>
    </row>
    <row r="37" spans="2:16">
      <c r="B37" s="103"/>
      <c r="C37" s="103"/>
      <c r="D37" s="104"/>
      <c r="E37" s="107"/>
      <c r="F37" s="107"/>
      <c r="G37" s="103"/>
      <c r="H37" s="103"/>
      <c r="I37" s="103"/>
      <c r="J37" s="103"/>
      <c r="K37" s="103"/>
      <c r="L37" s="103"/>
      <c r="M37" s="103"/>
      <c r="N37" s="103"/>
      <c r="O37" s="103"/>
      <c r="P37" s="103"/>
    </row>
    <row r="38" spans="2:16">
      <c r="B38" s="103"/>
      <c r="C38" s="103"/>
      <c r="D38" s="104"/>
      <c r="E38" s="107"/>
      <c r="F38" s="107"/>
      <c r="G38" s="103"/>
      <c r="H38" s="103"/>
      <c r="I38" s="103"/>
      <c r="J38" s="103"/>
      <c r="K38" s="103"/>
      <c r="L38" s="103"/>
      <c r="M38" s="103"/>
      <c r="N38" s="103"/>
      <c r="O38" s="103"/>
      <c r="P38" s="10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Lancement</vt:lpstr>
      <vt:lpstr>Dépense</vt:lpstr>
      <vt:lpstr>Recette</vt:lpstr>
      <vt:lpstr>Prévision de vente</vt:lpstr>
      <vt:lpstr>Profit &amp; Loss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stagiairedev</dc:creator>
  <cp:lastModifiedBy>stagiairedev</cp:lastModifiedBy>
  <dcterms:created xsi:type="dcterms:W3CDTF">2012-11-21T14:42:06Z</dcterms:created>
  <dcterms:modified xsi:type="dcterms:W3CDTF">2012-12-20T10:54:00Z</dcterms:modified>
</cp:coreProperties>
</file>